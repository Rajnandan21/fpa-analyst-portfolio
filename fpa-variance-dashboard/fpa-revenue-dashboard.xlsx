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Dat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<sst xmlns="http://schemas.openxmlformats.org/spreadsheetml/2006/main" count="927" uniqueCount="54">
  <si>
    <t xml:space="preserve">FP&amp;A REVENUE DASHBOARD</t>
  </si>
  <si>
    <t xml:space="preserve">Budget vs. Actual | Variance Analysis | UK FMCG Distribution Business  —  Rajnandan Basu</t>
  </si>
  <si>
    <t xml:space="preserve">Region Filter</t>
  </si>
  <si>
    <t xml:space="preserve">All</t>
  </si>
  <si>
    <t xml:space="preserve">Department Filter</t>
  </si>
  <si>
    <t xml:space="preserve">RegionCrit</t>
  </si>
  <si>
    <t xml:space="preserve">DeptCrit</t>
  </si>
  <si>
    <t xml:space="preserve">Select a Region/Department above — all KPIs and charts update automatically.</t>
  </si>
  <si>
    <t xml:space="preserve">Total Budget</t>
  </si>
  <si>
    <t xml:space="preserve">Total Actual</t>
  </si>
  <si>
    <t xml:space="preserve">Variance (£)</t>
  </si>
  <si>
    <t xml:space="preserve">Variance (%)</t>
  </si>
  <si>
    <t xml:space="preserve">MONTHLY TREND — BUDGET VS ACTUAL (filtered)</t>
  </si>
  <si>
    <t xml:space="preserve">Month</t>
  </si>
  <si>
    <t xml:space="preserve">Budget</t>
  </si>
  <si>
    <t xml:space="preserve">Actual</t>
  </si>
  <si>
    <t xml:space="preserve">Jan-25</t>
  </si>
  <si>
    <t xml:space="preserve">Feb-25</t>
  </si>
  <si>
    <t xml:space="preserve">Mar-25</t>
  </si>
  <si>
    <t xml:space="preserve">Apr-25</t>
  </si>
  <si>
    <t xml:space="preserve">May-25</t>
  </si>
  <si>
    <t xml:space="preserve">Jun-25</t>
  </si>
  <si>
    <t xml:space="preserve">Jul-25</t>
  </si>
  <si>
    <t xml:space="preserve">Aug-25</t>
  </si>
  <si>
    <t xml:space="preserve">Sep-25</t>
  </si>
  <si>
    <t xml:space="preserve">Oct-25</t>
  </si>
  <si>
    <t xml:space="preserve">Nov-25</t>
  </si>
  <si>
    <t xml:space="preserve">Dec-25</t>
  </si>
  <si>
    <t xml:space="preserve">Jan-26</t>
  </si>
  <si>
    <t xml:space="preserve">Feb-26</t>
  </si>
  <si>
    <t xml:space="preserve">Mar-26</t>
  </si>
  <si>
    <t xml:space="preserve">Apr-26</t>
  </si>
  <si>
    <t xml:space="preserve">May-26</t>
  </si>
  <si>
    <t xml:space="preserve">Jun-26</t>
  </si>
  <si>
    <t xml:space="preserve">REGIONAL PERFORMANCE (full year, all departments)</t>
  </si>
  <si>
    <t xml:space="preserve">Region</t>
  </si>
  <si>
    <t xml:space="preserve">Variance %</t>
  </si>
  <si>
    <t xml:space="preserve">London</t>
  </si>
  <si>
    <t xml:space="preserve">Manchester</t>
  </si>
  <si>
    <t xml:space="preserve">Birmingham</t>
  </si>
  <si>
    <t xml:space="preserve">Leeds</t>
  </si>
  <si>
    <t xml:space="preserve">REVENUE MIX BY DEPARTMENT (Actual, full year)</t>
  </si>
  <si>
    <t xml:space="preserve">Department</t>
  </si>
  <si>
    <t xml:space="preserve">Actual Revenue</t>
  </si>
  <si>
    <t xml:space="preserve">Retail Sales</t>
  </si>
  <si>
    <t xml:space="preserve">Wholesale</t>
  </si>
  <si>
    <t xml:space="preserve">Online Sales</t>
  </si>
  <si>
    <t xml:space="preserve">Foodservice</t>
  </si>
  <si>
    <t xml:space="preserve">INSIGHTS</t>
  </si>
  <si>
    <t xml:space="preserve">Best performing region (Actual vs Budget):</t>
  </si>
  <si>
    <t xml:space="preserve">Region needing attention (largest negative variance):</t>
  </si>
  <si>
    <t xml:space="preserve">Top department by revenue:</t>
  </si>
  <si>
    <t xml:space="preserve">MonthIndex</t>
  </si>
  <si>
    <t xml:space="preserve">Variance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</si>
</sst>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\£#,##0;&quot;(£&quot;#,##0\);\-"/>
    <numFmt numFmtId="167" formatCode="0.0%;\(0.0%\);\-"/>
    <numFmt numFmtId="168" formatCode="0.0\%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4E78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8"/>
      <color rgb="FFCCCCCC"/>
      <name val="Cambria"/>
      <family val="0"/>
      <charset val="1"/>
    </font>
    <font>
      <i val="true"/>
      <sz val="8"/>
      <color rgb="FF999999"/>
      <name val="Arial"/>
      <family val="0"/>
      <charset val="1"/>
    </font>
    <font>
      <b val="true"/>
      <sz val="20"/>
      <color rgb="FF1F4E78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rgb="FF008000"/>
      <name val="Arial"/>
      <family val="0"/>
      <charset val="1"/>
    </font>
    <font>
      <b val="true"/>
      <sz val="11"/>
      <color rgb="FFCC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E75B6"/>
        <bgColor rgb="FF4A7EBB"/>
      </patternFill>
    </fill>
    <fill>
      <patternFill patternType="solid">
        <fgColor rgb="FFEAF1FA"/>
        <bgColor rgb="FFF9F9F9"/>
      </patternFill>
    </fill>
    <fill>
      <patternFill patternType="solid">
        <fgColor rgb="FF1F4E78"/>
        <bgColor rgb="FF00336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B7B7B7"/>
      </left>
      <right/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C6EFCE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66666"/>
      <rgbColor rgb="FF800080"/>
      <rgbColor rgb="FF4F81BD"/>
      <rgbColor rgb="FFB7B7B7"/>
      <rgbColor rgb="FF878787"/>
      <rgbColor rgb="FF9999FF"/>
      <rgbColor rgb="FFBE4B48"/>
      <rgbColor rgb="FFF9F9F9"/>
      <rgbColor rgb="FFEAF1FA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D9D9"/>
      <rgbColor rgb="FFC6EFCE"/>
      <rgbColor rgb="FFFFFF99"/>
      <rgbColor rgb="FF99CCFF"/>
      <rgbColor rgb="FFFF99CC"/>
      <rgbColor rgb="FFCC99FF"/>
      <rgbColor rgb="FFFFC7CE"/>
      <rgbColor rgb="FF2E75B6"/>
      <rgbColor rgb="FF33CCCC"/>
      <rgbColor rgb="FF9BBB59"/>
      <rgbColor rgb="FFFFCC00"/>
      <rgbColor rgb="FFFF9900"/>
      <rgbColor rgb="FFFF6600"/>
      <rgbColor rgb="FF8064A2"/>
      <rgbColor rgb="FF999999"/>
      <rgbColor rgb="FF003366"/>
      <rgbColor rgb="FF4A7EBB"/>
      <rgbColor rgb="FF003300"/>
      <rgbColor rgb="FF333300"/>
      <rgbColor rgb="FF993300"/>
      <rgbColor rgb="FFC0504D"/>
      <rgbColor rgb="FF1F4E78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Revenue: Budget vs Actual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Dashboard!C14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Dashboard!$B$15:$B$32</c:f>
              <c:strCache>
                <c:ptCount val="18"/>
                <c:pt idx="0">
                  <c:v>Jan-25</c:v>
                </c:pt>
                <c:pt idx="1">
                  <c:v>Feb-25</c:v>
                </c:pt>
                <c:pt idx="2">
                  <c:v>Mar-25</c:v>
                </c:pt>
                <c:pt idx="3">
                  <c:v>Apr-25</c:v>
                </c:pt>
                <c:pt idx="4">
                  <c:v>May-25</c:v>
                </c:pt>
                <c:pt idx="5">
                  <c:v>Jun-25</c:v>
                </c:pt>
                <c:pt idx="6">
                  <c:v>Jul-25</c:v>
                </c:pt>
                <c:pt idx="7">
                  <c:v>Aug-25</c:v>
                </c:pt>
                <c:pt idx="8">
                  <c:v>Sep-25</c:v>
                </c:pt>
                <c:pt idx="9">
                  <c:v>Oct-25</c:v>
                </c:pt>
                <c:pt idx="10">
                  <c:v>Nov-25</c:v>
                </c:pt>
                <c:pt idx="11">
                  <c:v>Dec-25</c:v>
                </c:pt>
                <c:pt idx="12">
                  <c:v>Jan-26</c:v>
                </c:pt>
                <c:pt idx="13">
                  <c:v>Feb-26</c:v>
                </c:pt>
                <c:pt idx="14">
                  <c:v>Mar-26</c:v>
                </c:pt>
                <c:pt idx="15">
                  <c:v>Apr-26</c:v>
                </c:pt>
                <c:pt idx="16">
                  <c:v>May-26</c:v>
                </c:pt>
                <c:pt idx="17">
                  <c:v>Jun-26</c:v>
                </c:pt>
              </c:strCache>
            </c:strRef>
          </c:cat>
          <c:val>
            <c:numRef>
              <c:f>Dashboard!$C$15:$C$32</c:f>
              <c:numCache>
                <c:formatCode>\£#,##0;"(£"#,##0\);\-</c:formatCode>
                <c:ptCount val="18"/>
                <c:pt idx="0">
                  <c:v>1371439</c:v>
                </c:pt>
                <c:pt idx="1">
                  <c:v>1430075</c:v>
                </c:pt>
                <c:pt idx="2">
                  <c:v>1463546</c:v>
                </c:pt>
                <c:pt idx="3">
                  <c:v>1464969</c:v>
                </c:pt>
                <c:pt idx="4">
                  <c:v>1436016</c:v>
                </c:pt>
                <c:pt idx="5">
                  <c:v>1386590</c:v>
                </c:pt>
                <c:pt idx="6">
                  <c:v>1332263</c:v>
                </c:pt>
                <c:pt idx="7">
                  <c:v>1290128</c:v>
                </c:pt>
                <c:pt idx="8">
                  <c:v>1274233</c:v>
                </c:pt>
                <c:pt idx="9">
                  <c:v>1291719</c:v>
                </c:pt>
                <c:pt idx="10">
                  <c:v>1340814</c:v>
                </c:pt>
                <c:pt idx="11">
                  <c:v>1411191</c:v>
                </c:pt>
                <c:pt idx="12">
                  <c:v>1486641</c:v>
                </c:pt>
                <c:pt idx="13">
                  <c:v>1549367</c:v>
                </c:pt>
                <c:pt idx="14">
                  <c:v>1584786</c:v>
                </c:pt>
                <c:pt idx="15">
                  <c:v>1585492</c:v>
                </c:pt>
                <c:pt idx="16">
                  <c:v>1553355</c:v>
                </c:pt>
                <c:pt idx="17">
                  <c:v>1499126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Dashboard!D14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Dashboard!$B$15:$B$32</c:f>
              <c:strCache>
                <c:ptCount val="18"/>
                <c:pt idx="0">
                  <c:v>Jan-25</c:v>
                </c:pt>
                <c:pt idx="1">
                  <c:v>Feb-25</c:v>
                </c:pt>
                <c:pt idx="2">
                  <c:v>Mar-25</c:v>
                </c:pt>
                <c:pt idx="3">
                  <c:v>Apr-25</c:v>
                </c:pt>
                <c:pt idx="4">
                  <c:v>May-25</c:v>
                </c:pt>
                <c:pt idx="5">
                  <c:v>Jun-25</c:v>
                </c:pt>
                <c:pt idx="6">
                  <c:v>Jul-25</c:v>
                </c:pt>
                <c:pt idx="7">
                  <c:v>Aug-25</c:v>
                </c:pt>
                <c:pt idx="8">
                  <c:v>Sep-25</c:v>
                </c:pt>
                <c:pt idx="9">
                  <c:v>Oct-25</c:v>
                </c:pt>
                <c:pt idx="10">
                  <c:v>Nov-25</c:v>
                </c:pt>
                <c:pt idx="11">
                  <c:v>Dec-25</c:v>
                </c:pt>
                <c:pt idx="12">
                  <c:v>Jan-26</c:v>
                </c:pt>
                <c:pt idx="13">
                  <c:v>Feb-26</c:v>
                </c:pt>
                <c:pt idx="14">
                  <c:v>Mar-26</c:v>
                </c:pt>
                <c:pt idx="15">
                  <c:v>Apr-26</c:v>
                </c:pt>
                <c:pt idx="16">
                  <c:v>May-26</c:v>
                </c:pt>
                <c:pt idx="17">
                  <c:v>Jun-26</c:v>
                </c:pt>
              </c:strCache>
            </c:strRef>
          </c:cat>
          <c:val>
            <c:numRef>
              <c:f>Dashboard!$D$15:$D$32</c:f>
              <c:numCache>
                <c:formatCode>\£#,##0;"(£"#,##0\);\-</c:formatCode>
                <c:ptCount val="18"/>
                <c:pt idx="0">
                  <c:v>1391327</c:v>
                </c:pt>
                <c:pt idx="1">
                  <c:v>1448450</c:v>
                </c:pt>
                <c:pt idx="2">
                  <c:v>1418632</c:v>
                </c:pt>
                <c:pt idx="3">
                  <c:v>1462822</c:v>
                </c:pt>
                <c:pt idx="4">
                  <c:v>1417755</c:v>
                </c:pt>
                <c:pt idx="5">
                  <c:v>1424326</c:v>
                </c:pt>
                <c:pt idx="6">
                  <c:v>1381226</c:v>
                </c:pt>
                <c:pt idx="7">
                  <c:v>1303677</c:v>
                </c:pt>
                <c:pt idx="8">
                  <c:v>1250489</c:v>
                </c:pt>
                <c:pt idx="9">
                  <c:v>1251186</c:v>
                </c:pt>
                <c:pt idx="10">
                  <c:v>1330323</c:v>
                </c:pt>
                <c:pt idx="11">
                  <c:v>1417970</c:v>
                </c:pt>
                <c:pt idx="12">
                  <c:v>1459694</c:v>
                </c:pt>
                <c:pt idx="13">
                  <c:v>1537887</c:v>
                </c:pt>
                <c:pt idx="14">
                  <c:v>1594462</c:v>
                </c:pt>
                <c:pt idx="15">
                  <c:v>1563262</c:v>
                </c:pt>
                <c:pt idx="16">
                  <c:v>1568952</c:v>
                </c:pt>
                <c:pt idx="17">
                  <c:v>1461619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4239969"/>
        <c:axId val="30826554"/>
      </c:lineChart>
      <c:catAx>
        <c:axId val="1423996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826554"/>
        <c:crosses val="autoZero"/>
        <c:auto val="1"/>
        <c:lblAlgn val="ctr"/>
        <c:lblOffset val="100"/>
        <c:noMultiLvlLbl val="0"/>
      </c:catAx>
      <c:valAx>
        <c:axId val="3082655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£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£#,##0;&quot;(£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23996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Budget vs Actual by Region (Full Year)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Dashboard!C36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Dashboard!$B$37:$B$40</c:f>
              <c:strCache>
                <c:ptCount val="4"/>
                <c:pt idx="0">
                  <c:v>London</c:v>
                </c:pt>
                <c:pt idx="1">
                  <c:v>Manchester</c:v>
                </c:pt>
                <c:pt idx="2">
                  <c:v>Birmingham</c:v>
                </c:pt>
                <c:pt idx="3">
                  <c:v>Leeds</c:v>
                </c:pt>
              </c:strCache>
            </c:strRef>
          </c:cat>
          <c:val>
            <c:numRef>
              <c:f>Dashboard!$C$37:$C$40</c:f>
              <c:numCache>
                <c:formatCode>\£#,##0;"(£"#,##0\);\-</c:formatCode>
                <c:ptCount val="4"/>
                <c:pt idx="0">
                  <c:v>9328933</c:v>
                </c:pt>
                <c:pt idx="1">
                  <c:v>6607997</c:v>
                </c:pt>
                <c:pt idx="2">
                  <c:v>5733411</c:v>
                </c:pt>
                <c:pt idx="3">
                  <c:v>4081409</c:v>
                </c:pt>
              </c:numCache>
            </c:numRef>
          </c:val>
        </c:ser>
        <c:ser>
          <c:idx val="1"/>
          <c:order val="1"/>
          <c:tx>
            <c:strRef>
              <c:f>Dashboard!D36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Dashboard!$B$37:$B$40</c:f>
              <c:strCache>
                <c:ptCount val="4"/>
                <c:pt idx="0">
                  <c:v>London</c:v>
                </c:pt>
                <c:pt idx="1">
                  <c:v>Manchester</c:v>
                </c:pt>
                <c:pt idx="2">
                  <c:v>Birmingham</c:v>
                </c:pt>
                <c:pt idx="3">
                  <c:v>Leeds</c:v>
                </c:pt>
              </c:strCache>
            </c:strRef>
          </c:cat>
          <c:val>
            <c:numRef>
              <c:f>Dashboard!$D$37:$D$40</c:f>
              <c:numCache>
                <c:formatCode>\£#,##0;"(£"#,##0\);\-</c:formatCode>
                <c:ptCount val="4"/>
                <c:pt idx="0">
                  <c:v>9310655</c:v>
                </c:pt>
                <c:pt idx="1">
                  <c:v>6580934</c:v>
                </c:pt>
                <c:pt idx="2">
                  <c:v>5691465</c:v>
                </c:pt>
                <c:pt idx="3">
                  <c:v>4101005</c:v>
                </c:pt>
              </c:numCache>
            </c:numRef>
          </c:val>
        </c:ser>
        <c:gapWidth val="150"/>
        <c:overlap val="0"/>
        <c:axId val="14162716"/>
        <c:axId val="71077254"/>
      </c:barChart>
      <c:catAx>
        <c:axId val="141627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077254"/>
        <c:crosses val="autoZero"/>
        <c:auto val="1"/>
        <c:lblAlgn val="ctr"/>
        <c:lblOffset val="100"/>
        <c:noMultiLvlLbl val="0"/>
      </c:catAx>
      <c:valAx>
        <c:axId val="7107725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£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£#,##0;&quot;(£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16271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Mix by Department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Dashboard!C44</c:f>
              <c:strCache>
                <c:ptCount val="1"/>
                <c:pt idx="0">
                  <c:v>Actual 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Dashboard!$B$45:$B$48</c:f>
              <c:strCache>
                <c:ptCount val="4"/>
                <c:pt idx="0">
                  <c:v>Retail Sales</c:v>
                </c:pt>
                <c:pt idx="1">
                  <c:v>Wholesale</c:v>
                </c:pt>
                <c:pt idx="2">
                  <c:v>Online Sales</c:v>
                </c:pt>
                <c:pt idx="3">
                  <c:v>Foodservice</c:v>
                </c:pt>
              </c:strCache>
            </c:strRef>
          </c:cat>
          <c:val>
            <c:numRef>
              <c:f>Dashboard!$C$45:$C$48</c:f>
              <c:numCache>
                <c:formatCode>\£#,##0;"(£"#,##0\);\-</c:formatCode>
                <c:ptCount val="4"/>
                <c:pt idx="0">
                  <c:v>10852672</c:v>
                </c:pt>
                <c:pt idx="1">
                  <c:v>7154748</c:v>
                </c:pt>
                <c:pt idx="2">
                  <c:v>4590236</c:v>
                </c:pt>
                <c:pt idx="3">
                  <c:v>3086403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11</xdr:row>
      <xdr:rowOff>100800</xdr:rowOff>
    </xdr:from>
    <xdr:to>
      <xdr:col>12</xdr:col>
      <xdr:colOff>277200</xdr:colOff>
      <xdr:row>26</xdr:row>
      <xdr:rowOff>123120</xdr:rowOff>
    </xdr:to>
    <xdr:graphicFrame>
      <xdr:nvGraphicFramePr>
        <xdr:cNvPr id="0" name="Chart 1"/>
        <xdr:cNvGraphicFramePr/>
      </xdr:nvGraphicFramePr>
      <xdr:xfrm>
        <a:off x="4158720" y="247644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33</xdr:row>
      <xdr:rowOff>101160</xdr:rowOff>
    </xdr:from>
    <xdr:to>
      <xdr:col>12</xdr:col>
      <xdr:colOff>277200</xdr:colOff>
      <xdr:row>48</xdr:row>
      <xdr:rowOff>123120</xdr:rowOff>
    </xdr:to>
    <xdr:graphicFrame>
      <xdr:nvGraphicFramePr>
        <xdr:cNvPr id="1" name="Chart 2"/>
        <xdr:cNvGraphicFramePr/>
      </xdr:nvGraphicFramePr>
      <xdr:xfrm>
        <a:off x="4158720" y="666756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</xdr:col>
      <xdr:colOff>0</xdr:colOff>
      <xdr:row>41</xdr:row>
      <xdr:rowOff>100800</xdr:rowOff>
    </xdr:from>
    <xdr:to>
      <xdr:col>10</xdr:col>
      <xdr:colOff>372600</xdr:colOff>
      <xdr:row>56</xdr:row>
      <xdr:rowOff>123120</xdr:rowOff>
    </xdr:to>
    <xdr:graphicFrame>
      <xdr:nvGraphicFramePr>
        <xdr:cNvPr id="2" name="Chart 3"/>
        <xdr:cNvGraphicFramePr/>
      </xdr:nvGraphicFramePr>
      <xdr:xfrm>
        <a:off x="4158720" y="819144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5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4" min="4" style="0" width="4"/>
    <col collapsed="false" customWidth="true" hidden="false" outlineLevel="0" max="6" min="5" style="0" width="16"/>
    <col collapsed="false" customWidth="true" hidden="false" outlineLevel="0" max="7" min="7" style="0" width="4"/>
    <col collapsed="false" customWidth="true" hidden="false" outlineLevel="0" max="9" min="8" style="0" width="16"/>
    <col collapsed="false" customWidth="true" hidden="false" outlineLevel="0" max="10" min="10" style="0" width="4"/>
    <col collapsed="false" customWidth="true" hidden="false" outlineLevel="0" max="12" min="11" style="0" width="16"/>
  </cols>
  <sheetData>
    <row r="2" customFormat="false" ht="22.0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4" t="s">
        <v>3</v>
      </c>
      <c r="E5" s="3" t="s">
        <v>4</v>
      </c>
      <c r="F5" s="4" t="s">
        <v>3</v>
      </c>
      <c r="H5" s="5" t="s">
        <v>5</v>
      </c>
      <c r="I5" s="0" t="str">
        <f aca="false">IF(C5="All","*",C5)</f>
        <v>*</v>
      </c>
      <c r="J5" s="5" t="s">
        <v>6</v>
      </c>
      <c r="K5" s="0" t="str">
        <f aca="false">IF(F5="All","*",F5)</f>
        <v>*</v>
      </c>
    </row>
    <row r="6" customFormat="false" ht="15" hidden="false" customHeight="false" outlineLevel="0" collapsed="false">
      <c r="B6" s="6" t="s">
        <v>7</v>
      </c>
    </row>
    <row r="8" customFormat="false" ht="15" hidden="false" customHeight="false" outlineLevel="0" collapsed="false">
      <c r="B8" s="7" t="s">
        <v>8</v>
      </c>
      <c r="C8" s="7"/>
      <c r="E8" s="7" t="s">
        <v>9</v>
      </c>
      <c r="F8" s="7"/>
      <c r="H8" s="7" t="s">
        <v>10</v>
      </c>
      <c r="I8" s="7"/>
      <c r="K8" s="7" t="s">
        <v>11</v>
      </c>
      <c r="L8" s="7"/>
    </row>
    <row r="9" customFormat="false" ht="30" hidden="false" customHeight="true" outlineLevel="0" collapsed="false">
      <c r="B9" s="8" t="n">
        <f aca="false">SUMIFS(Data!$E:$E,Data!$C:$C,$I$5,Data!$D:$D,$K$5)</f>
        <v>25751750</v>
      </c>
      <c r="C9" s="8"/>
      <c r="E9" s="8" t="n">
        <f aca="false">SUMIFS(Data!$F:$F,Data!$C:$C,$I$5,Data!$D:$D,$K$5)</f>
        <v>25684059</v>
      </c>
      <c r="F9" s="8"/>
      <c r="H9" s="9" t="n">
        <f aca="false">E9-B9</f>
        <v>-67691</v>
      </c>
      <c r="I9" s="9"/>
      <c r="K9" s="10" t="n">
        <f aca="false">IFERROR(H9/B9,0)</f>
        <v>-0.00262859805644277</v>
      </c>
      <c r="L9" s="10"/>
    </row>
    <row r="13" customFormat="false" ht="15" hidden="false" customHeight="false" outlineLevel="0" collapsed="false">
      <c r="B13" s="11" t="s">
        <v>12</v>
      </c>
    </row>
    <row r="14" customFormat="false" ht="15" hidden="false" customHeight="false" outlineLevel="0" collapsed="false">
      <c r="B14" s="12" t="s">
        <v>13</v>
      </c>
      <c r="C14" s="12" t="s">
        <v>14</v>
      </c>
      <c r="D14" s="12" t="s">
        <v>15</v>
      </c>
    </row>
    <row r="15" customFormat="false" ht="15" hidden="false" customHeight="false" outlineLevel="0" collapsed="false">
      <c r="B15" s="13" t="s">
        <v>16</v>
      </c>
      <c r="C15" s="14" t="n">
        <f aca="false">SUMIFS(Data!$E:$E,Data!$A:$A,"Jan-25",Data!$C:$C,$I$5,Data!$D:$D,$K$5)</f>
        <v>1371439</v>
      </c>
      <c r="D15" s="14" t="n">
        <f aca="false">SUMIFS(Data!$F:$F,Data!$A:$A,"Jan-25",Data!$C:$C,$I$5,Data!$D:$D,$K$5)</f>
        <v>1391327</v>
      </c>
    </row>
    <row r="16" customFormat="false" ht="15" hidden="false" customHeight="false" outlineLevel="0" collapsed="false">
      <c r="B16" s="13" t="s">
        <v>17</v>
      </c>
      <c r="C16" s="14" t="n">
        <f aca="false">SUMIFS(Data!$E:$E,Data!$A:$A,"Feb-25",Data!$C:$C,$I$5,Data!$D:$D,$K$5)</f>
        <v>1430075</v>
      </c>
      <c r="D16" s="14" t="n">
        <f aca="false">SUMIFS(Data!$F:$F,Data!$A:$A,"Feb-25",Data!$C:$C,$I$5,Data!$D:$D,$K$5)</f>
        <v>1448450</v>
      </c>
    </row>
    <row r="17" customFormat="false" ht="15" hidden="false" customHeight="false" outlineLevel="0" collapsed="false">
      <c r="B17" s="13" t="s">
        <v>18</v>
      </c>
      <c r="C17" s="14" t="n">
        <f aca="false">SUMIFS(Data!$E:$E,Data!$A:$A,"Mar-25",Data!$C:$C,$I$5,Data!$D:$D,$K$5)</f>
        <v>1463546</v>
      </c>
      <c r="D17" s="14" t="n">
        <f aca="false">SUMIFS(Data!$F:$F,Data!$A:$A,"Mar-25",Data!$C:$C,$I$5,Data!$D:$D,$K$5)</f>
        <v>1418632</v>
      </c>
    </row>
    <row r="18" customFormat="false" ht="15" hidden="false" customHeight="false" outlineLevel="0" collapsed="false">
      <c r="B18" s="13" t="s">
        <v>19</v>
      </c>
      <c r="C18" s="14" t="n">
        <f aca="false">SUMIFS(Data!$E:$E,Data!$A:$A,"Apr-25",Data!$C:$C,$I$5,Data!$D:$D,$K$5)</f>
        <v>1464969</v>
      </c>
      <c r="D18" s="14" t="n">
        <f aca="false">SUMIFS(Data!$F:$F,Data!$A:$A,"Apr-25",Data!$C:$C,$I$5,Data!$D:$D,$K$5)</f>
        <v>1462822</v>
      </c>
    </row>
    <row r="19" customFormat="false" ht="15" hidden="false" customHeight="false" outlineLevel="0" collapsed="false">
      <c r="B19" s="13" t="s">
        <v>20</v>
      </c>
      <c r="C19" s="14" t="n">
        <f aca="false">SUMIFS(Data!$E:$E,Data!$A:$A,"May-25",Data!$C:$C,$I$5,Data!$D:$D,$K$5)</f>
        <v>1436016</v>
      </c>
      <c r="D19" s="14" t="n">
        <f aca="false">SUMIFS(Data!$F:$F,Data!$A:$A,"May-25",Data!$C:$C,$I$5,Data!$D:$D,$K$5)</f>
        <v>1417755</v>
      </c>
    </row>
    <row r="20" customFormat="false" ht="15" hidden="false" customHeight="false" outlineLevel="0" collapsed="false">
      <c r="B20" s="13" t="s">
        <v>21</v>
      </c>
      <c r="C20" s="14" t="n">
        <f aca="false">SUMIFS(Data!$E:$E,Data!$A:$A,"Jun-25",Data!$C:$C,$I$5,Data!$D:$D,$K$5)</f>
        <v>1386590</v>
      </c>
      <c r="D20" s="14" t="n">
        <f aca="false">SUMIFS(Data!$F:$F,Data!$A:$A,"Jun-25",Data!$C:$C,$I$5,Data!$D:$D,$K$5)</f>
        <v>1424326</v>
      </c>
    </row>
    <row r="21" customFormat="false" ht="15" hidden="false" customHeight="false" outlineLevel="0" collapsed="false">
      <c r="B21" s="13" t="s">
        <v>22</v>
      </c>
      <c r="C21" s="14" t="n">
        <f aca="false">SUMIFS(Data!$E:$E,Data!$A:$A,"Jul-25",Data!$C:$C,$I$5,Data!$D:$D,$K$5)</f>
        <v>1332263</v>
      </c>
      <c r="D21" s="14" t="n">
        <f aca="false">SUMIFS(Data!$F:$F,Data!$A:$A,"Jul-25",Data!$C:$C,$I$5,Data!$D:$D,$K$5)</f>
        <v>1381226</v>
      </c>
    </row>
    <row r="22" customFormat="false" ht="15" hidden="false" customHeight="false" outlineLevel="0" collapsed="false">
      <c r="B22" s="13" t="s">
        <v>23</v>
      </c>
      <c r="C22" s="14" t="n">
        <f aca="false">SUMIFS(Data!$E:$E,Data!$A:$A,"Aug-25",Data!$C:$C,$I$5,Data!$D:$D,$K$5)</f>
        <v>1290128</v>
      </c>
      <c r="D22" s="14" t="n">
        <f aca="false">SUMIFS(Data!$F:$F,Data!$A:$A,"Aug-25",Data!$C:$C,$I$5,Data!$D:$D,$K$5)</f>
        <v>1303677</v>
      </c>
    </row>
    <row r="23" customFormat="false" ht="15" hidden="false" customHeight="false" outlineLevel="0" collapsed="false">
      <c r="B23" s="13" t="s">
        <v>24</v>
      </c>
      <c r="C23" s="14" t="n">
        <f aca="false">SUMIFS(Data!$E:$E,Data!$A:$A,"Sep-25",Data!$C:$C,$I$5,Data!$D:$D,$K$5)</f>
        <v>1274233</v>
      </c>
      <c r="D23" s="14" t="n">
        <f aca="false">SUMIFS(Data!$F:$F,Data!$A:$A,"Sep-25",Data!$C:$C,$I$5,Data!$D:$D,$K$5)</f>
        <v>1250489</v>
      </c>
    </row>
    <row r="24" customFormat="false" ht="15" hidden="false" customHeight="false" outlineLevel="0" collapsed="false">
      <c r="B24" s="13" t="s">
        <v>25</v>
      </c>
      <c r="C24" s="14" t="n">
        <f aca="false">SUMIFS(Data!$E:$E,Data!$A:$A,"Oct-25",Data!$C:$C,$I$5,Data!$D:$D,$K$5)</f>
        <v>1291719</v>
      </c>
      <c r="D24" s="14" t="n">
        <f aca="false">SUMIFS(Data!$F:$F,Data!$A:$A,"Oct-25",Data!$C:$C,$I$5,Data!$D:$D,$K$5)</f>
        <v>1251186</v>
      </c>
    </row>
    <row r="25" customFormat="false" ht="15" hidden="false" customHeight="false" outlineLevel="0" collapsed="false">
      <c r="B25" s="13" t="s">
        <v>26</v>
      </c>
      <c r="C25" s="14" t="n">
        <f aca="false">SUMIFS(Data!$E:$E,Data!$A:$A,"Nov-25",Data!$C:$C,$I$5,Data!$D:$D,$K$5)</f>
        <v>1340814</v>
      </c>
      <c r="D25" s="14" t="n">
        <f aca="false">SUMIFS(Data!$F:$F,Data!$A:$A,"Nov-25",Data!$C:$C,$I$5,Data!$D:$D,$K$5)</f>
        <v>1330323</v>
      </c>
    </row>
    <row r="26" customFormat="false" ht="15" hidden="false" customHeight="false" outlineLevel="0" collapsed="false">
      <c r="B26" s="13" t="s">
        <v>27</v>
      </c>
      <c r="C26" s="14" t="n">
        <f aca="false">SUMIFS(Data!$E:$E,Data!$A:$A,"Dec-25",Data!$C:$C,$I$5,Data!$D:$D,$K$5)</f>
        <v>1411191</v>
      </c>
      <c r="D26" s="14" t="n">
        <f aca="false">SUMIFS(Data!$F:$F,Data!$A:$A,"Dec-25",Data!$C:$C,$I$5,Data!$D:$D,$K$5)</f>
        <v>1417970</v>
      </c>
    </row>
    <row r="27" customFormat="false" ht="15" hidden="false" customHeight="false" outlineLevel="0" collapsed="false">
      <c r="B27" s="13" t="s">
        <v>28</v>
      </c>
      <c r="C27" s="14" t="n">
        <f aca="false">SUMIFS(Data!$E:$E,Data!$A:$A,"Jan-26",Data!$C:$C,$I$5,Data!$D:$D,$K$5)</f>
        <v>1486641</v>
      </c>
      <c r="D27" s="14" t="n">
        <f aca="false">SUMIFS(Data!$F:$F,Data!$A:$A,"Jan-26",Data!$C:$C,$I$5,Data!$D:$D,$K$5)</f>
        <v>1459694</v>
      </c>
    </row>
    <row r="28" customFormat="false" ht="15" hidden="false" customHeight="false" outlineLevel="0" collapsed="false">
      <c r="B28" s="13" t="s">
        <v>29</v>
      </c>
      <c r="C28" s="14" t="n">
        <f aca="false">SUMIFS(Data!$E:$E,Data!$A:$A,"Feb-26",Data!$C:$C,$I$5,Data!$D:$D,$K$5)</f>
        <v>1549367</v>
      </c>
      <c r="D28" s="14" t="n">
        <f aca="false">SUMIFS(Data!$F:$F,Data!$A:$A,"Feb-26",Data!$C:$C,$I$5,Data!$D:$D,$K$5)</f>
        <v>1537887</v>
      </c>
    </row>
    <row r="29" customFormat="false" ht="15" hidden="false" customHeight="false" outlineLevel="0" collapsed="false">
      <c r="B29" s="13" t="s">
        <v>30</v>
      </c>
      <c r="C29" s="14" t="n">
        <f aca="false">SUMIFS(Data!$E:$E,Data!$A:$A,"Mar-26",Data!$C:$C,$I$5,Data!$D:$D,$K$5)</f>
        <v>1584786</v>
      </c>
      <c r="D29" s="14" t="n">
        <f aca="false">SUMIFS(Data!$F:$F,Data!$A:$A,"Mar-26",Data!$C:$C,$I$5,Data!$D:$D,$K$5)</f>
        <v>1594462</v>
      </c>
    </row>
    <row r="30" customFormat="false" ht="15" hidden="false" customHeight="false" outlineLevel="0" collapsed="false">
      <c r="B30" s="13" t="s">
        <v>31</v>
      </c>
      <c r="C30" s="14" t="n">
        <f aca="false">SUMIFS(Data!$E:$E,Data!$A:$A,"Apr-26",Data!$C:$C,$I$5,Data!$D:$D,$K$5)</f>
        <v>1585492</v>
      </c>
      <c r="D30" s="14" t="n">
        <f aca="false">SUMIFS(Data!$F:$F,Data!$A:$A,"Apr-26",Data!$C:$C,$I$5,Data!$D:$D,$K$5)</f>
        <v>1563262</v>
      </c>
    </row>
    <row r="31" customFormat="false" ht="15" hidden="false" customHeight="false" outlineLevel="0" collapsed="false">
      <c r="B31" s="13" t="s">
        <v>32</v>
      </c>
      <c r="C31" s="14" t="n">
        <f aca="false">SUMIFS(Data!$E:$E,Data!$A:$A,"May-26",Data!$C:$C,$I$5,Data!$D:$D,$K$5)</f>
        <v>1553355</v>
      </c>
      <c r="D31" s="14" t="n">
        <f aca="false">SUMIFS(Data!$F:$F,Data!$A:$A,"May-26",Data!$C:$C,$I$5,Data!$D:$D,$K$5)</f>
        <v>1568952</v>
      </c>
    </row>
    <row r="32" customFormat="false" ht="15" hidden="false" customHeight="false" outlineLevel="0" collapsed="false">
      <c r="B32" s="13" t="s">
        <v>33</v>
      </c>
      <c r="C32" s="14" t="n">
        <f aca="false">SUMIFS(Data!$E:$E,Data!$A:$A,"Jun-26",Data!$C:$C,$I$5,Data!$D:$D,$K$5)</f>
        <v>1499126</v>
      </c>
      <c r="D32" s="14" t="n">
        <f aca="false">SUMIFS(Data!$F:$F,Data!$A:$A,"Jun-26",Data!$C:$C,$I$5,Data!$D:$D,$K$5)</f>
        <v>1461619</v>
      </c>
    </row>
    <row r="35" customFormat="false" ht="15" hidden="false" customHeight="false" outlineLevel="0" collapsed="false">
      <c r="B35" s="11" t="s">
        <v>34</v>
      </c>
    </row>
    <row r="36" customFormat="false" ht="15" hidden="false" customHeight="false" outlineLevel="0" collapsed="false">
      <c r="B36" s="12" t="s">
        <v>35</v>
      </c>
      <c r="C36" s="12" t="s">
        <v>14</v>
      </c>
      <c r="D36" s="12" t="s">
        <v>15</v>
      </c>
      <c r="E36" s="12" t="s">
        <v>36</v>
      </c>
    </row>
    <row r="37" customFormat="false" ht="15" hidden="false" customHeight="false" outlineLevel="0" collapsed="false">
      <c r="B37" s="13" t="s">
        <v>37</v>
      </c>
      <c r="C37" s="14" t="n">
        <f aca="false">SUMIFS(Data!$E:$E,Data!$C:$C,"London")</f>
        <v>9328933</v>
      </c>
      <c r="D37" s="14" t="n">
        <f aca="false">SUMIFS(Data!$F:$F,Data!$C:$C,"London")</f>
        <v>9310655</v>
      </c>
      <c r="E37" s="15" t="n">
        <f aca="false">(D37-C37)/C37</f>
        <v>-0.00195928087381483</v>
      </c>
    </row>
    <row r="38" customFormat="false" ht="15" hidden="false" customHeight="false" outlineLevel="0" collapsed="false">
      <c r="B38" s="13" t="s">
        <v>38</v>
      </c>
      <c r="C38" s="14" t="n">
        <f aca="false">SUMIFS(Data!$E:$E,Data!$C:$C,"Manchester")</f>
        <v>6607997</v>
      </c>
      <c r="D38" s="14" t="n">
        <f aca="false">SUMIFS(Data!$F:$F,Data!$C:$C,"Manchester")</f>
        <v>6580934</v>
      </c>
      <c r="E38" s="15" t="n">
        <f aca="false">(D38-C38)/C38</f>
        <v>-0.00409549217410359</v>
      </c>
    </row>
    <row r="39" customFormat="false" ht="15" hidden="false" customHeight="false" outlineLevel="0" collapsed="false">
      <c r="B39" s="13" t="s">
        <v>39</v>
      </c>
      <c r="C39" s="14" t="n">
        <f aca="false">SUMIFS(Data!$E:$E,Data!$C:$C,"Birmingham")</f>
        <v>5733411</v>
      </c>
      <c r="D39" s="14" t="n">
        <f aca="false">SUMIFS(Data!$F:$F,Data!$C:$C,"Birmingham")</f>
        <v>5691465</v>
      </c>
      <c r="E39" s="15" t="n">
        <f aca="false">(D39-C39)/C39</f>
        <v>-0.00731606368355591</v>
      </c>
    </row>
    <row r="40" customFormat="false" ht="15" hidden="false" customHeight="false" outlineLevel="0" collapsed="false">
      <c r="B40" s="13" t="s">
        <v>40</v>
      </c>
      <c r="C40" s="14" t="n">
        <f aca="false">SUMIFS(Data!$E:$E,Data!$C:$C,"Leeds")</f>
        <v>4081409</v>
      </c>
      <c r="D40" s="14" t="n">
        <f aca="false">SUMIFS(Data!$F:$F,Data!$C:$C,"Leeds")</f>
        <v>4101005</v>
      </c>
      <c r="E40" s="15" t="n">
        <f aca="false">(D40-C40)/C40</f>
        <v>0.00480128308630671</v>
      </c>
    </row>
    <row r="43" customFormat="false" ht="15" hidden="false" customHeight="false" outlineLevel="0" collapsed="false">
      <c r="B43" s="11" t="s">
        <v>41</v>
      </c>
    </row>
    <row r="44" customFormat="false" ht="15" hidden="false" customHeight="false" outlineLevel="0" collapsed="false">
      <c r="B44" s="12" t="s">
        <v>42</v>
      </c>
      <c r="C44" s="12" t="s">
        <v>43</v>
      </c>
    </row>
    <row r="45" customFormat="false" ht="15" hidden="false" customHeight="false" outlineLevel="0" collapsed="false">
      <c r="B45" s="13" t="s">
        <v>44</v>
      </c>
      <c r="C45" s="14" t="n">
        <f aca="false">SUMIFS(Data!$F:$F,Data!$D:$D,"Retail Sales")</f>
        <v>10852672</v>
      </c>
    </row>
    <row r="46" customFormat="false" ht="15" hidden="false" customHeight="false" outlineLevel="0" collapsed="false">
      <c r="B46" s="13" t="s">
        <v>45</v>
      </c>
      <c r="C46" s="14" t="n">
        <f aca="false">SUMIFS(Data!$F:$F,Data!$D:$D,"Wholesale")</f>
        <v>7154748</v>
      </c>
    </row>
    <row r="47" customFormat="false" ht="15" hidden="false" customHeight="false" outlineLevel="0" collapsed="false">
      <c r="B47" s="13" t="s">
        <v>46</v>
      </c>
      <c r="C47" s="14" t="n">
        <f aca="false">SUMIFS(Data!$F:$F,Data!$D:$D,"Online Sales")</f>
        <v>4590236</v>
      </c>
    </row>
    <row r="48" customFormat="false" ht="15" hidden="false" customHeight="false" outlineLevel="0" collapsed="false">
      <c r="B48" s="13" t="s">
        <v>47</v>
      </c>
      <c r="C48" s="14" t="n">
        <f aca="false">SUMIFS(Data!$F:$F,Data!$D:$D,"Foodservice")</f>
        <v>3086403</v>
      </c>
    </row>
    <row r="51" customFormat="false" ht="15" hidden="false" customHeight="false" outlineLevel="0" collapsed="false">
      <c r="B51" s="16" t="s">
        <v>48</v>
      </c>
      <c r="C51" s="16"/>
      <c r="D51" s="16"/>
      <c r="E51" s="16"/>
      <c r="F51" s="16"/>
      <c r="G51" s="16"/>
      <c r="H51" s="16"/>
      <c r="I51" s="16"/>
      <c r="J51" s="16"/>
      <c r="K51" s="16"/>
    </row>
    <row r="52" customFormat="false" ht="15" hidden="false" customHeight="false" outlineLevel="0" collapsed="false">
      <c r="B52" s="13" t="s">
        <v>49</v>
      </c>
      <c r="E52" s="17" t="str">
        <f aca="false">INDEX(B37:B40,MATCH(MAX(E37:E40),E37:E40,0))</f>
        <v>Leeds</v>
      </c>
    </row>
    <row r="53" customFormat="false" ht="15" hidden="false" customHeight="false" outlineLevel="0" collapsed="false">
      <c r="B53" s="13" t="s">
        <v>50</v>
      </c>
      <c r="E53" s="18" t="str">
        <f aca="false">INDEX(B37:B40,MATCH(MIN(E37:E40),E37:E40,0))</f>
        <v>Birmingham</v>
      </c>
    </row>
    <row r="54" customFormat="false" ht="15" hidden="false" customHeight="false" outlineLevel="0" collapsed="false">
      <c r="B54" s="13" t="s">
        <v>51</v>
      </c>
      <c r="E54" s="11" t="str">
        <f aca="false">INDEX(B45:B48,MATCH(MAX(C45:C48),C45:C48,0))</f>
        <v>Retail Sales</v>
      </c>
    </row>
  </sheetData>
  <mergeCells count="9">
    <mergeCell ref="B8:C8"/>
    <mergeCell ref="E8:F8"/>
    <mergeCell ref="H8:I8"/>
    <mergeCell ref="K8:L8"/>
    <mergeCell ref="B9:C9"/>
    <mergeCell ref="E9:F9"/>
    <mergeCell ref="H9:I9"/>
    <mergeCell ref="K9:L9"/>
    <mergeCell ref="B51:K51"/>
  </mergeCells>
  <conditionalFormatting sqref="H9">
    <cfRule type="cellIs" priority="2" operator="greaterThanOrEqual" aboveAverage="0" equalAverage="0" bottom="0" percent="0" rank="0" text="" dxfId="0">
      <formula>0</formula>
    </cfRule>
    <cfRule type="cellIs" priority="3" operator="lessThan" aboveAverage="0" equalAverage="0" bottom="0" percent="0" rank="0" text="" dxfId="1">
      <formula>0</formula>
    </cfRule>
  </conditionalFormatting>
  <conditionalFormatting sqref="K9">
    <cfRule type="cellIs" priority="4" operator="greaterThanOrEqual" aboveAverage="0" equalAverage="0" bottom="0" percent="0" rank="0" text="" dxfId="0">
      <formula>0</formula>
    </cfRule>
    <cfRule type="cellIs" priority="5" operator="lessThan" aboveAverage="0" equalAverage="0" bottom="0" percent="0" rank="0" text="" dxfId="1">
      <formula>0</formula>
    </cfRule>
  </conditionalFormatting>
  <conditionalFormatting sqref="E37">
    <cfRule type="cellIs" priority="6" operator="greaterThanOrEqual" aboveAverage="0" equalAverage="0" bottom="0" percent="0" rank="0" text="" dxfId="0">
      <formula>0</formula>
    </cfRule>
    <cfRule type="cellIs" priority="7" operator="lessThan" aboveAverage="0" equalAverage="0" bottom="0" percent="0" rank="0" text="" dxfId="1">
      <formula>0</formula>
    </cfRule>
  </conditionalFormatting>
  <conditionalFormatting sqref="E38">
    <cfRule type="cellIs" priority="8" operator="greaterThanOrEqual" aboveAverage="0" equalAverage="0" bottom="0" percent="0" rank="0" text="" dxfId="0">
      <formula>0</formula>
    </cfRule>
    <cfRule type="cellIs" priority="9" operator="lessThan" aboveAverage="0" equalAverage="0" bottom="0" percent="0" rank="0" text="" dxfId="1">
      <formula>0</formula>
    </cfRule>
  </conditionalFormatting>
  <conditionalFormatting sqref="E39">
    <cfRule type="cellIs" priority="10" operator="greaterThanOrEqual" aboveAverage="0" equalAverage="0" bottom="0" percent="0" rank="0" text="" dxfId="0">
      <formula>0</formula>
    </cfRule>
    <cfRule type="cellIs" priority="11" operator="lessThan" aboveAverage="0" equalAverage="0" bottom="0" percent="0" rank="0" text="" dxfId="1">
      <formula>0</formula>
    </cfRule>
  </conditionalFormatting>
  <conditionalFormatting sqref="E40">
    <cfRule type="cellIs" priority="12" operator="greaterThanOrEqual" aboveAverage="0" equalAverage="0" bottom="0" percent="0" rank="0" text="" dxfId="0">
      <formula>0</formula>
    </cfRule>
    <cfRule type="cellIs" priority="13" operator="lessThan" aboveAverage="0" equalAverage="0" bottom="0" percent="0" rank="0" text="" dxfId="1">
      <formula>0</formula>
    </cfRule>
  </conditionalFormatting>
  <dataValidations count="2">
    <dataValidation allowBlank="false" errorStyle="stop" operator="between" showDropDown="false" showErrorMessage="false" showInputMessage="false" sqref="C5" type="list">
      <formula1>"All,London,Manchester,Birmingham,Leeds"</formula1>
      <formula2>0</formula2>
    </dataValidation>
    <dataValidation allowBlank="false" errorStyle="stop" operator="between" showDropDown="false" showErrorMessage="false" showInputMessage="false" sqref="F5" type="list">
      <formula1>"All,Retail Sales,Wholesale,Online Sales,Foodservice"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4" min="3" style="0" width="14"/>
    <col collapsed="false" customWidth="true" hidden="false" outlineLevel="0" max="8" min="5" style="0" width="12"/>
  </cols>
  <sheetData>
    <row r="1" customFormat="false" ht="15" hidden="false" customHeight="false" outlineLevel="0" collapsed="false">
      <c r="A1" s="12" t="s">
        <v>13</v>
      </c>
      <c r="B1" s="12" t="s">
        <v>52</v>
      </c>
      <c r="C1" s="12" t="s">
        <v>35</v>
      </c>
      <c r="D1" s="12" t="s">
        <v>42</v>
      </c>
      <c r="E1" s="12" t="s">
        <v>14</v>
      </c>
      <c r="F1" s="12" t="s">
        <v>15</v>
      </c>
      <c r="G1" s="12" t="s">
        <v>53</v>
      </c>
      <c r="H1" s="12" t="s">
        <v>36</v>
      </c>
    </row>
    <row r="2" customFormat="false" ht="15" hidden="false" customHeight="false" outlineLevel="0" collapsed="false">
      <c r="A2" s="0" t="s">
        <v>16</v>
      </c>
      <c r="B2" s="0" t="n">
        <v>1</v>
      </c>
      <c r="C2" s="0" t="s">
        <v>37</v>
      </c>
      <c r="D2" s="0" t="s">
        <v>44</v>
      </c>
      <c r="E2" s="14" t="n">
        <v>208666</v>
      </c>
      <c r="F2" s="14" t="n">
        <v>236886</v>
      </c>
      <c r="G2" s="14" t="n">
        <v>28220</v>
      </c>
      <c r="H2" s="19" t="n">
        <v>13.5</v>
      </c>
    </row>
    <row r="3" customFormat="false" ht="15" hidden="false" customHeight="false" outlineLevel="0" collapsed="false">
      <c r="A3" s="0" t="s">
        <v>16</v>
      </c>
      <c r="B3" s="0" t="n">
        <v>1</v>
      </c>
      <c r="C3" s="0" t="s">
        <v>37</v>
      </c>
      <c r="D3" s="0" t="s">
        <v>45</v>
      </c>
      <c r="E3" s="14" t="n">
        <v>139110</v>
      </c>
      <c r="F3" s="14" t="n">
        <v>133925</v>
      </c>
      <c r="G3" s="14" t="n">
        <v>-5185</v>
      </c>
      <c r="H3" s="19" t="n">
        <v>-3.7</v>
      </c>
    </row>
    <row r="4" customFormat="false" ht="15" hidden="false" customHeight="false" outlineLevel="0" collapsed="false">
      <c r="A4" s="0" t="s">
        <v>16</v>
      </c>
      <c r="B4" s="0" t="n">
        <v>1</v>
      </c>
      <c r="C4" s="0" t="s">
        <v>37</v>
      </c>
      <c r="D4" s="0" t="s">
        <v>46</v>
      </c>
      <c r="E4" s="14" t="n">
        <v>89428</v>
      </c>
      <c r="F4" s="14" t="n">
        <v>89663</v>
      </c>
      <c r="G4" s="14" t="n">
        <v>235</v>
      </c>
      <c r="H4" s="19" t="n">
        <v>0.3</v>
      </c>
    </row>
    <row r="5" customFormat="false" ht="15" hidden="false" customHeight="false" outlineLevel="0" collapsed="false">
      <c r="A5" s="0" t="s">
        <v>16</v>
      </c>
      <c r="B5" s="0" t="n">
        <v>1</v>
      </c>
      <c r="C5" s="0" t="s">
        <v>37</v>
      </c>
      <c r="D5" s="0" t="s">
        <v>47</v>
      </c>
      <c r="E5" s="14" t="n">
        <v>59619</v>
      </c>
      <c r="F5" s="14" t="n">
        <v>61562</v>
      </c>
      <c r="G5" s="14" t="n">
        <v>1943</v>
      </c>
      <c r="H5" s="19" t="n">
        <v>3.3</v>
      </c>
    </row>
    <row r="6" customFormat="false" ht="15" hidden="false" customHeight="false" outlineLevel="0" collapsed="false">
      <c r="A6" s="0" t="s">
        <v>16</v>
      </c>
      <c r="B6" s="0" t="n">
        <v>1</v>
      </c>
      <c r="C6" s="0" t="s">
        <v>38</v>
      </c>
      <c r="D6" s="0" t="s">
        <v>44</v>
      </c>
      <c r="E6" s="14" t="n">
        <v>147805</v>
      </c>
      <c r="F6" s="14" t="n">
        <v>138476</v>
      </c>
      <c r="G6" s="14" t="n">
        <v>-9329</v>
      </c>
      <c r="H6" s="19" t="n">
        <v>-6.3</v>
      </c>
    </row>
    <row r="7" customFormat="false" ht="15" hidden="false" customHeight="false" outlineLevel="0" collapsed="false">
      <c r="A7" s="0" t="s">
        <v>16</v>
      </c>
      <c r="B7" s="0" t="n">
        <v>1</v>
      </c>
      <c r="C7" s="0" t="s">
        <v>38</v>
      </c>
      <c r="D7" s="0" t="s">
        <v>45</v>
      </c>
      <c r="E7" s="14" t="n">
        <v>98537</v>
      </c>
      <c r="F7" s="14" t="n">
        <v>98553</v>
      </c>
      <c r="G7" s="14" t="n">
        <v>16</v>
      </c>
      <c r="H7" s="19" t="n">
        <v>0</v>
      </c>
    </row>
    <row r="8" customFormat="false" ht="15" hidden="false" customHeight="false" outlineLevel="0" collapsed="false">
      <c r="A8" s="0" t="s">
        <v>16</v>
      </c>
      <c r="B8" s="0" t="n">
        <v>1</v>
      </c>
      <c r="C8" s="0" t="s">
        <v>38</v>
      </c>
      <c r="D8" s="0" t="s">
        <v>46</v>
      </c>
      <c r="E8" s="14" t="n">
        <v>63345</v>
      </c>
      <c r="F8" s="14" t="n">
        <v>63340</v>
      </c>
      <c r="G8" s="14" t="n">
        <v>-5</v>
      </c>
      <c r="H8" s="19" t="n">
        <v>0</v>
      </c>
    </row>
    <row r="9" customFormat="false" ht="15" hidden="false" customHeight="false" outlineLevel="0" collapsed="false">
      <c r="A9" s="0" t="s">
        <v>16</v>
      </c>
      <c r="B9" s="0" t="n">
        <v>1</v>
      </c>
      <c r="C9" s="0" t="s">
        <v>38</v>
      </c>
      <c r="D9" s="0" t="s">
        <v>47</v>
      </c>
      <c r="E9" s="14" t="n">
        <v>42230</v>
      </c>
      <c r="F9" s="14" t="n">
        <v>36302</v>
      </c>
      <c r="G9" s="14" t="n">
        <v>-5928</v>
      </c>
      <c r="H9" s="19" t="n">
        <v>-14</v>
      </c>
    </row>
    <row r="10" customFormat="false" ht="15" hidden="false" customHeight="false" outlineLevel="0" collapsed="false">
      <c r="A10" s="0" t="s">
        <v>16</v>
      </c>
      <c r="B10" s="0" t="n">
        <v>1</v>
      </c>
      <c r="C10" s="0" t="s">
        <v>39</v>
      </c>
      <c r="D10" s="0" t="s">
        <v>44</v>
      </c>
      <c r="E10" s="14" t="n">
        <v>128242</v>
      </c>
      <c r="F10" s="14" t="n">
        <v>138683</v>
      </c>
      <c r="G10" s="14" t="n">
        <v>10441</v>
      </c>
      <c r="H10" s="19" t="n">
        <v>8.1</v>
      </c>
    </row>
    <row r="11" customFormat="false" ht="15" hidden="false" customHeight="false" outlineLevel="0" collapsed="false">
      <c r="A11" s="0" t="s">
        <v>16</v>
      </c>
      <c r="B11" s="0" t="n">
        <v>1</v>
      </c>
      <c r="C11" s="0" t="s">
        <v>39</v>
      </c>
      <c r="D11" s="0" t="s">
        <v>45</v>
      </c>
      <c r="E11" s="14" t="n">
        <v>85495</v>
      </c>
      <c r="F11" s="14" t="n">
        <v>89602</v>
      </c>
      <c r="G11" s="14" t="n">
        <v>4107</v>
      </c>
      <c r="H11" s="19" t="n">
        <v>4.8</v>
      </c>
    </row>
    <row r="12" customFormat="false" ht="15" hidden="false" customHeight="false" outlineLevel="0" collapsed="false">
      <c r="A12" s="0" t="s">
        <v>16</v>
      </c>
      <c r="B12" s="0" t="n">
        <v>1</v>
      </c>
      <c r="C12" s="0" t="s">
        <v>39</v>
      </c>
      <c r="D12" s="0" t="s">
        <v>46</v>
      </c>
      <c r="E12" s="14" t="n">
        <v>54961</v>
      </c>
      <c r="F12" s="14" t="n">
        <v>52211</v>
      </c>
      <c r="G12" s="14" t="n">
        <v>-2750</v>
      </c>
      <c r="H12" s="19" t="n">
        <v>-5</v>
      </c>
    </row>
    <row r="13" customFormat="false" ht="15" hidden="false" customHeight="false" outlineLevel="0" collapsed="false">
      <c r="A13" s="0" t="s">
        <v>16</v>
      </c>
      <c r="B13" s="0" t="n">
        <v>1</v>
      </c>
      <c r="C13" s="0" t="s">
        <v>39</v>
      </c>
      <c r="D13" s="0" t="s">
        <v>47</v>
      </c>
      <c r="E13" s="14" t="n">
        <v>36641</v>
      </c>
      <c r="F13" s="14" t="n">
        <v>36138</v>
      </c>
      <c r="G13" s="14" t="n">
        <v>-503</v>
      </c>
      <c r="H13" s="19" t="n">
        <v>-1.4</v>
      </c>
    </row>
    <row r="14" customFormat="false" ht="15" hidden="false" customHeight="false" outlineLevel="0" collapsed="false">
      <c r="A14" s="0" t="s">
        <v>16</v>
      </c>
      <c r="B14" s="0" t="n">
        <v>1</v>
      </c>
      <c r="C14" s="0" t="s">
        <v>40</v>
      </c>
      <c r="D14" s="0" t="s">
        <v>44</v>
      </c>
      <c r="E14" s="14" t="n">
        <v>91291</v>
      </c>
      <c r="F14" s="14" t="n">
        <v>94982</v>
      </c>
      <c r="G14" s="14" t="n">
        <v>3691</v>
      </c>
      <c r="H14" s="19" t="n">
        <v>4</v>
      </c>
    </row>
    <row r="15" customFormat="false" ht="15" hidden="false" customHeight="false" outlineLevel="0" collapsed="false">
      <c r="A15" s="0" t="s">
        <v>16</v>
      </c>
      <c r="B15" s="0" t="n">
        <v>1</v>
      </c>
      <c r="C15" s="0" t="s">
        <v>40</v>
      </c>
      <c r="D15" s="0" t="s">
        <v>45</v>
      </c>
      <c r="E15" s="14" t="n">
        <v>60861</v>
      </c>
      <c r="F15" s="14" t="n">
        <v>59588</v>
      </c>
      <c r="G15" s="14" t="n">
        <v>-1273</v>
      </c>
      <c r="H15" s="19" t="n">
        <v>-2.1</v>
      </c>
    </row>
    <row r="16" customFormat="false" ht="15" hidden="false" customHeight="false" outlineLevel="0" collapsed="false">
      <c r="A16" s="0" t="s">
        <v>16</v>
      </c>
      <c r="B16" s="0" t="n">
        <v>1</v>
      </c>
      <c r="C16" s="0" t="s">
        <v>40</v>
      </c>
      <c r="D16" s="0" t="s">
        <v>46</v>
      </c>
      <c r="E16" s="14" t="n">
        <v>39125</v>
      </c>
      <c r="F16" s="14" t="n">
        <v>38365</v>
      </c>
      <c r="G16" s="14" t="n">
        <v>-760</v>
      </c>
      <c r="H16" s="19" t="n">
        <v>-1.9</v>
      </c>
    </row>
    <row r="17" customFormat="false" ht="15" hidden="false" customHeight="false" outlineLevel="0" collapsed="false">
      <c r="A17" s="0" t="s">
        <v>16</v>
      </c>
      <c r="B17" s="0" t="n">
        <v>1</v>
      </c>
      <c r="C17" s="0" t="s">
        <v>40</v>
      </c>
      <c r="D17" s="0" t="s">
        <v>47</v>
      </c>
      <c r="E17" s="14" t="n">
        <v>26083</v>
      </c>
      <c r="F17" s="14" t="n">
        <v>23051</v>
      </c>
      <c r="G17" s="14" t="n">
        <v>-3032</v>
      </c>
      <c r="H17" s="19" t="n">
        <v>-11.6</v>
      </c>
    </row>
    <row r="18" customFormat="false" ht="15" hidden="false" customHeight="false" outlineLevel="0" collapsed="false">
      <c r="A18" s="0" t="s">
        <v>17</v>
      </c>
      <c r="B18" s="0" t="n">
        <v>2</v>
      </c>
      <c r="C18" s="0" t="s">
        <v>37</v>
      </c>
      <c r="D18" s="0" t="s">
        <v>44</v>
      </c>
      <c r="E18" s="14" t="n">
        <v>217587</v>
      </c>
      <c r="F18" s="14" t="n">
        <v>227241</v>
      </c>
      <c r="G18" s="14" t="n">
        <v>9654</v>
      </c>
      <c r="H18" s="19" t="n">
        <v>4.4</v>
      </c>
    </row>
    <row r="19" customFormat="false" ht="15" hidden="false" customHeight="false" outlineLevel="0" collapsed="false">
      <c r="A19" s="0" t="s">
        <v>17</v>
      </c>
      <c r="B19" s="0" t="n">
        <v>2</v>
      </c>
      <c r="C19" s="0" t="s">
        <v>37</v>
      </c>
      <c r="D19" s="0" t="s">
        <v>45</v>
      </c>
      <c r="E19" s="14" t="n">
        <v>145058</v>
      </c>
      <c r="F19" s="14" t="n">
        <v>146496</v>
      </c>
      <c r="G19" s="14" t="n">
        <v>1438</v>
      </c>
      <c r="H19" s="19" t="n">
        <v>1</v>
      </c>
    </row>
    <row r="20" customFormat="false" ht="15" hidden="false" customHeight="false" outlineLevel="0" collapsed="false">
      <c r="A20" s="0" t="s">
        <v>17</v>
      </c>
      <c r="B20" s="0" t="n">
        <v>2</v>
      </c>
      <c r="C20" s="0" t="s">
        <v>37</v>
      </c>
      <c r="D20" s="0" t="s">
        <v>46</v>
      </c>
      <c r="E20" s="14" t="n">
        <v>93252</v>
      </c>
      <c r="F20" s="14" t="n">
        <v>95299</v>
      </c>
      <c r="G20" s="14" t="n">
        <v>2047</v>
      </c>
      <c r="H20" s="19" t="n">
        <v>2.2</v>
      </c>
    </row>
    <row r="21" customFormat="false" ht="15" hidden="false" customHeight="false" outlineLevel="0" collapsed="false">
      <c r="A21" s="0" t="s">
        <v>17</v>
      </c>
      <c r="B21" s="0" t="n">
        <v>2</v>
      </c>
      <c r="C21" s="0" t="s">
        <v>37</v>
      </c>
      <c r="D21" s="0" t="s">
        <v>47</v>
      </c>
      <c r="E21" s="14" t="n">
        <v>62168</v>
      </c>
      <c r="F21" s="14" t="n">
        <v>54576</v>
      </c>
      <c r="G21" s="14" t="n">
        <v>-7592</v>
      </c>
      <c r="H21" s="19" t="n">
        <v>-12.2</v>
      </c>
    </row>
    <row r="22" customFormat="false" ht="15" hidden="false" customHeight="false" outlineLevel="0" collapsed="false">
      <c r="A22" s="0" t="s">
        <v>17</v>
      </c>
      <c r="B22" s="0" t="n">
        <v>2</v>
      </c>
      <c r="C22" s="0" t="s">
        <v>38</v>
      </c>
      <c r="D22" s="0" t="s">
        <v>44</v>
      </c>
      <c r="E22" s="14" t="n">
        <v>154124</v>
      </c>
      <c r="F22" s="14" t="n">
        <v>174477</v>
      </c>
      <c r="G22" s="14" t="n">
        <v>20353</v>
      </c>
      <c r="H22" s="19" t="n">
        <v>13.2</v>
      </c>
    </row>
    <row r="23" customFormat="false" ht="15" hidden="false" customHeight="false" outlineLevel="0" collapsed="false">
      <c r="A23" s="0" t="s">
        <v>17</v>
      </c>
      <c r="B23" s="0" t="n">
        <v>2</v>
      </c>
      <c r="C23" s="0" t="s">
        <v>38</v>
      </c>
      <c r="D23" s="0" t="s">
        <v>45</v>
      </c>
      <c r="E23" s="14" t="n">
        <v>102750</v>
      </c>
      <c r="F23" s="14" t="n">
        <v>104018</v>
      </c>
      <c r="G23" s="14" t="n">
        <v>1268</v>
      </c>
      <c r="H23" s="19" t="n">
        <v>1.2</v>
      </c>
    </row>
    <row r="24" customFormat="false" ht="15" hidden="false" customHeight="false" outlineLevel="0" collapsed="false">
      <c r="A24" s="0" t="s">
        <v>17</v>
      </c>
      <c r="B24" s="0" t="n">
        <v>2</v>
      </c>
      <c r="C24" s="0" t="s">
        <v>38</v>
      </c>
      <c r="D24" s="0" t="s">
        <v>46</v>
      </c>
      <c r="E24" s="14" t="n">
        <v>66053</v>
      </c>
      <c r="F24" s="14" t="n">
        <v>64008</v>
      </c>
      <c r="G24" s="14" t="n">
        <v>-2045</v>
      </c>
      <c r="H24" s="19" t="n">
        <v>-3.1</v>
      </c>
    </row>
    <row r="25" customFormat="false" ht="15" hidden="false" customHeight="false" outlineLevel="0" collapsed="false">
      <c r="A25" s="0" t="s">
        <v>17</v>
      </c>
      <c r="B25" s="0" t="n">
        <v>2</v>
      </c>
      <c r="C25" s="0" t="s">
        <v>38</v>
      </c>
      <c r="D25" s="0" t="s">
        <v>47</v>
      </c>
      <c r="E25" s="14" t="n">
        <v>44036</v>
      </c>
      <c r="F25" s="14" t="n">
        <v>51184</v>
      </c>
      <c r="G25" s="14" t="n">
        <v>7148</v>
      </c>
      <c r="H25" s="19" t="n">
        <v>16.2</v>
      </c>
    </row>
    <row r="26" customFormat="false" ht="15" hidden="false" customHeight="false" outlineLevel="0" collapsed="false">
      <c r="A26" s="0" t="s">
        <v>17</v>
      </c>
      <c r="B26" s="0" t="n">
        <v>2</v>
      </c>
      <c r="C26" s="0" t="s">
        <v>39</v>
      </c>
      <c r="D26" s="0" t="s">
        <v>44</v>
      </c>
      <c r="E26" s="14" t="n">
        <v>133726</v>
      </c>
      <c r="F26" s="14" t="n">
        <v>133240</v>
      </c>
      <c r="G26" s="14" t="n">
        <v>-486</v>
      </c>
      <c r="H26" s="19" t="n">
        <v>-0.4</v>
      </c>
    </row>
    <row r="27" customFormat="false" ht="15" hidden="false" customHeight="false" outlineLevel="0" collapsed="false">
      <c r="A27" s="0" t="s">
        <v>17</v>
      </c>
      <c r="B27" s="0" t="n">
        <v>2</v>
      </c>
      <c r="C27" s="0" t="s">
        <v>39</v>
      </c>
      <c r="D27" s="0" t="s">
        <v>45</v>
      </c>
      <c r="E27" s="14" t="n">
        <v>89150</v>
      </c>
      <c r="F27" s="14" t="n">
        <v>78804</v>
      </c>
      <c r="G27" s="14" t="n">
        <v>-10346</v>
      </c>
      <c r="H27" s="19" t="n">
        <v>-11.6</v>
      </c>
    </row>
    <row r="28" customFormat="false" ht="15" hidden="false" customHeight="false" outlineLevel="0" collapsed="false">
      <c r="A28" s="0" t="s">
        <v>17</v>
      </c>
      <c r="B28" s="0" t="n">
        <v>2</v>
      </c>
      <c r="C28" s="0" t="s">
        <v>39</v>
      </c>
      <c r="D28" s="0" t="s">
        <v>46</v>
      </c>
      <c r="E28" s="14" t="n">
        <v>57311</v>
      </c>
      <c r="F28" s="14" t="n">
        <v>55453</v>
      </c>
      <c r="G28" s="14" t="n">
        <v>-1858</v>
      </c>
      <c r="H28" s="19" t="n">
        <v>-3.2</v>
      </c>
    </row>
    <row r="29" customFormat="false" ht="15" hidden="false" customHeight="false" outlineLevel="0" collapsed="false">
      <c r="A29" s="0" t="s">
        <v>17</v>
      </c>
      <c r="B29" s="0" t="n">
        <v>2</v>
      </c>
      <c r="C29" s="0" t="s">
        <v>39</v>
      </c>
      <c r="D29" s="0" t="s">
        <v>47</v>
      </c>
      <c r="E29" s="14" t="n">
        <v>38207</v>
      </c>
      <c r="F29" s="14" t="n">
        <v>31213</v>
      </c>
      <c r="G29" s="14" t="n">
        <v>-6994</v>
      </c>
      <c r="H29" s="19" t="n">
        <v>-18.3</v>
      </c>
    </row>
    <row r="30" customFormat="false" ht="15" hidden="false" customHeight="false" outlineLevel="0" collapsed="false">
      <c r="A30" s="0" t="s">
        <v>17</v>
      </c>
      <c r="B30" s="0" t="n">
        <v>2</v>
      </c>
      <c r="C30" s="0" t="s">
        <v>40</v>
      </c>
      <c r="D30" s="0" t="s">
        <v>44</v>
      </c>
      <c r="E30" s="14" t="n">
        <v>95194</v>
      </c>
      <c r="F30" s="14" t="n">
        <v>103186</v>
      </c>
      <c r="G30" s="14" t="n">
        <v>7992</v>
      </c>
      <c r="H30" s="19" t="n">
        <v>8.4</v>
      </c>
    </row>
    <row r="31" customFormat="false" ht="15" hidden="false" customHeight="false" outlineLevel="0" collapsed="false">
      <c r="A31" s="0" t="s">
        <v>17</v>
      </c>
      <c r="B31" s="0" t="n">
        <v>2</v>
      </c>
      <c r="C31" s="0" t="s">
        <v>40</v>
      </c>
      <c r="D31" s="0" t="s">
        <v>45</v>
      </c>
      <c r="E31" s="14" t="n">
        <v>63463</v>
      </c>
      <c r="F31" s="14" t="n">
        <v>61349</v>
      </c>
      <c r="G31" s="14" t="n">
        <v>-2114</v>
      </c>
      <c r="H31" s="19" t="n">
        <v>-3.3</v>
      </c>
    </row>
    <row r="32" customFormat="false" ht="15" hidden="false" customHeight="false" outlineLevel="0" collapsed="false">
      <c r="A32" s="0" t="s">
        <v>17</v>
      </c>
      <c r="B32" s="0" t="n">
        <v>2</v>
      </c>
      <c r="C32" s="0" t="s">
        <v>40</v>
      </c>
      <c r="D32" s="0" t="s">
        <v>46</v>
      </c>
      <c r="E32" s="14" t="n">
        <v>40798</v>
      </c>
      <c r="F32" s="14" t="n">
        <v>38374</v>
      </c>
      <c r="G32" s="14" t="n">
        <v>-2424</v>
      </c>
      <c r="H32" s="19" t="n">
        <v>-5.9</v>
      </c>
    </row>
    <row r="33" customFormat="false" ht="15" hidden="false" customHeight="false" outlineLevel="0" collapsed="false">
      <c r="A33" s="0" t="s">
        <v>17</v>
      </c>
      <c r="B33" s="0" t="n">
        <v>2</v>
      </c>
      <c r="C33" s="0" t="s">
        <v>40</v>
      </c>
      <c r="D33" s="0" t="s">
        <v>47</v>
      </c>
      <c r="E33" s="14" t="n">
        <v>27198</v>
      </c>
      <c r="F33" s="14" t="n">
        <v>29532</v>
      </c>
      <c r="G33" s="14" t="n">
        <v>2334</v>
      </c>
      <c r="H33" s="19" t="n">
        <v>8.6</v>
      </c>
    </row>
    <row r="34" customFormat="false" ht="15" hidden="false" customHeight="false" outlineLevel="0" collapsed="false">
      <c r="A34" s="0" t="s">
        <v>18</v>
      </c>
      <c r="B34" s="0" t="n">
        <v>3</v>
      </c>
      <c r="C34" s="0" t="s">
        <v>37</v>
      </c>
      <c r="D34" s="0" t="s">
        <v>44</v>
      </c>
      <c r="E34" s="14" t="n">
        <v>222680</v>
      </c>
      <c r="F34" s="14" t="n">
        <v>193267</v>
      </c>
      <c r="G34" s="14" t="n">
        <v>-29413</v>
      </c>
      <c r="H34" s="19" t="n">
        <v>-13.2</v>
      </c>
    </row>
    <row r="35" customFormat="false" ht="15" hidden="false" customHeight="false" outlineLevel="0" collapsed="false">
      <c r="A35" s="0" t="s">
        <v>18</v>
      </c>
      <c r="B35" s="0" t="n">
        <v>3</v>
      </c>
      <c r="C35" s="0" t="s">
        <v>37</v>
      </c>
      <c r="D35" s="0" t="s">
        <v>45</v>
      </c>
      <c r="E35" s="14" t="n">
        <v>148453</v>
      </c>
      <c r="F35" s="14" t="n">
        <v>154812</v>
      </c>
      <c r="G35" s="14" t="n">
        <v>6359</v>
      </c>
      <c r="H35" s="19" t="n">
        <v>4.3</v>
      </c>
    </row>
    <row r="36" customFormat="false" ht="15" hidden="false" customHeight="false" outlineLevel="0" collapsed="false">
      <c r="A36" s="0" t="s">
        <v>18</v>
      </c>
      <c r="B36" s="0" t="n">
        <v>3</v>
      </c>
      <c r="C36" s="0" t="s">
        <v>37</v>
      </c>
      <c r="D36" s="0" t="s">
        <v>46</v>
      </c>
      <c r="E36" s="14" t="n">
        <v>95434</v>
      </c>
      <c r="F36" s="14" t="n">
        <v>79673</v>
      </c>
      <c r="G36" s="14" t="n">
        <v>-15761</v>
      </c>
      <c r="H36" s="19" t="n">
        <v>-16.5</v>
      </c>
    </row>
    <row r="37" customFormat="false" ht="15" hidden="false" customHeight="false" outlineLevel="0" collapsed="false">
      <c r="A37" s="0" t="s">
        <v>18</v>
      </c>
      <c r="B37" s="0" t="n">
        <v>3</v>
      </c>
      <c r="C37" s="0" t="s">
        <v>37</v>
      </c>
      <c r="D37" s="0" t="s">
        <v>47</v>
      </c>
      <c r="E37" s="14" t="n">
        <v>63623</v>
      </c>
      <c r="F37" s="14" t="n">
        <v>60253</v>
      </c>
      <c r="G37" s="14" t="n">
        <v>-3370</v>
      </c>
      <c r="H37" s="19" t="n">
        <v>-5.3</v>
      </c>
    </row>
    <row r="38" customFormat="false" ht="15" hidden="false" customHeight="false" outlineLevel="0" collapsed="false">
      <c r="A38" s="0" t="s">
        <v>18</v>
      </c>
      <c r="B38" s="0" t="n">
        <v>3</v>
      </c>
      <c r="C38" s="0" t="s">
        <v>38</v>
      </c>
      <c r="D38" s="0" t="s">
        <v>44</v>
      </c>
      <c r="E38" s="14" t="n">
        <v>157732</v>
      </c>
      <c r="F38" s="14" t="n">
        <v>142536</v>
      </c>
      <c r="G38" s="14" t="n">
        <v>-15196</v>
      </c>
      <c r="H38" s="19" t="n">
        <v>-9.6</v>
      </c>
    </row>
    <row r="39" customFormat="false" ht="15" hidden="false" customHeight="false" outlineLevel="0" collapsed="false">
      <c r="A39" s="0" t="s">
        <v>18</v>
      </c>
      <c r="B39" s="0" t="n">
        <v>3</v>
      </c>
      <c r="C39" s="0" t="s">
        <v>38</v>
      </c>
      <c r="D39" s="0" t="s">
        <v>45</v>
      </c>
      <c r="E39" s="14" t="n">
        <v>105154</v>
      </c>
      <c r="F39" s="14" t="n">
        <v>117453</v>
      </c>
      <c r="G39" s="14" t="n">
        <v>12299</v>
      </c>
      <c r="H39" s="19" t="n">
        <v>11.7</v>
      </c>
    </row>
    <row r="40" customFormat="false" ht="15" hidden="false" customHeight="false" outlineLevel="0" collapsed="false">
      <c r="A40" s="0" t="s">
        <v>18</v>
      </c>
      <c r="B40" s="0" t="n">
        <v>3</v>
      </c>
      <c r="C40" s="0" t="s">
        <v>38</v>
      </c>
      <c r="D40" s="0" t="s">
        <v>46</v>
      </c>
      <c r="E40" s="14" t="n">
        <v>67599</v>
      </c>
      <c r="F40" s="14" t="n">
        <v>77151</v>
      </c>
      <c r="G40" s="14" t="n">
        <v>9552</v>
      </c>
      <c r="H40" s="19" t="n">
        <v>14.1</v>
      </c>
    </row>
    <row r="41" customFormat="false" ht="15" hidden="false" customHeight="false" outlineLevel="0" collapsed="false">
      <c r="A41" s="0" t="s">
        <v>18</v>
      </c>
      <c r="B41" s="0" t="n">
        <v>3</v>
      </c>
      <c r="C41" s="0" t="s">
        <v>38</v>
      </c>
      <c r="D41" s="0" t="s">
        <v>47</v>
      </c>
      <c r="E41" s="14" t="n">
        <v>45066</v>
      </c>
      <c r="F41" s="14" t="n">
        <v>43879</v>
      </c>
      <c r="G41" s="14" t="n">
        <v>-1187</v>
      </c>
      <c r="H41" s="19" t="n">
        <v>-2.6</v>
      </c>
    </row>
    <row r="42" customFormat="false" ht="15" hidden="false" customHeight="false" outlineLevel="0" collapsed="false">
      <c r="A42" s="0" t="s">
        <v>18</v>
      </c>
      <c r="B42" s="0" t="n">
        <v>3</v>
      </c>
      <c r="C42" s="0" t="s">
        <v>39</v>
      </c>
      <c r="D42" s="0" t="s">
        <v>44</v>
      </c>
      <c r="E42" s="14" t="n">
        <v>136855</v>
      </c>
      <c r="F42" s="14" t="n">
        <v>146060</v>
      </c>
      <c r="G42" s="14" t="n">
        <v>9205</v>
      </c>
      <c r="H42" s="19" t="n">
        <v>6.7</v>
      </c>
    </row>
    <row r="43" customFormat="false" ht="15" hidden="false" customHeight="false" outlineLevel="0" collapsed="false">
      <c r="A43" s="0" t="s">
        <v>18</v>
      </c>
      <c r="B43" s="0" t="n">
        <v>3</v>
      </c>
      <c r="C43" s="0" t="s">
        <v>39</v>
      </c>
      <c r="D43" s="0" t="s">
        <v>45</v>
      </c>
      <c r="E43" s="14" t="n">
        <v>91237</v>
      </c>
      <c r="F43" s="14" t="n">
        <v>89923</v>
      </c>
      <c r="G43" s="14" t="n">
        <v>-1314</v>
      </c>
      <c r="H43" s="19" t="n">
        <v>-1.4</v>
      </c>
    </row>
    <row r="44" customFormat="false" ht="15" hidden="false" customHeight="false" outlineLevel="0" collapsed="false">
      <c r="A44" s="0" t="s">
        <v>18</v>
      </c>
      <c r="B44" s="0" t="n">
        <v>3</v>
      </c>
      <c r="C44" s="0" t="s">
        <v>39</v>
      </c>
      <c r="D44" s="0" t="s">
        <v>46</v>
      </c>
      <c r="E44" s="14" t="n">
        <v>58652</v>
      </c>
      <c r="F44" s="14" t="n">
        <v>61318</v>
      </c>
      <c r="G44" s="14" t="n">
        <v>2666</v>
      </c>
      <c r="H44" s="19" t="n">
        <v>4.5</v>
      </c>
    </row>
    <row r="45" customFormat="false" ht="15" hidden="false" customHeight="false" outlineLevel="0" collapsed="false">
      <c r="A45" s="0" t="s">
        <v>18</v>
      </c>
      <c r="B45" s="0" t="n">
        <v>3</v>
      </c>
      <c r="C45" s="0" t="s">
        <v>39</v>
      </c>
      <c r="D45" s="0" t="s">
        <v>47</v>
      </c>
      <c r="E45" s="14" t="n">
        <v>39102</v>
      </c>
      <c r="F45" s="14" t="n">
        <v>36747</v>
      </c>
      <c r="G45" s="14" t="n">
        <v>-2355</v>
      </c>
      <c r="H45" s="19" t="n">
        <v>-6</v>
      </c>
    </row>
    <row r="46" customFormat="false" ht="15" hidden="false" customHeight="false" outlineLevel="0" collapsed="false">
      <c r="A46" s="0" t="s">
        <v>18</v>
      </c>
      <c r="B46" s="0" t="n">
        <v>3</v>
      </c>
      <c r="C46" s="0" t="s">
        <v>40</v>
      </c>
      <c r="D46" s="0" t="s">
        <v>44</v>
      </c>
      <c r="E46" s="14" t="n">
        <v>97423</v>
      </c>
      <c r="F46" s="14" t="n">
        <v>84108</v>
      </c>
      <c r="G46" s="14" t="n">
        <v>-13315</v>
      </c>
      <c r="H46" s="19" t="n">
        <v>-13.7</v>
      </c>
    </row>
    <row r="47" customFormat="false" ht="15" hidden="false" customHeight="false" outlineLevel="0" collapsed="false">
      <c r="A47" s="0" t="s">
        <v>18</v>
      </c>
      <c r="B47" s="0" t="n">
        <v>3</v>
      </c>
      <c r="C47" s="0" t="s">
        <v>40</v>
      </c>
      <c r="D47" s="0" t="s">
        <v>45</v>
      </c>
      <c r="E47" s="14" t="n">
        <v>64948</v>
      </c>
      <c r="F47" s="14" t="n">
        <v>55580</v>
      </c>
      <c r="G47" s="14" t="n">
        <v>-9368</v>
      </c>
      <c r="H47" s="19" t="n">
        <v>-14.4</v>
      </c>
    </row>
    <row r="48" customFormat="false" ht="15" hidden="false" customHeight="false" outlineLevel="0" collapsed="false">
      <c r="A48" s="0" t="s">
        <v>18</v>
      </c>
      <c r="B48" s="0" t="n">
        <v>3</v>
      </c>
      <c r="C48" s="0" t="s">
        <v>40</v>
      </c>
      <c r="D48" s="0" t="s">
        <v>46</v>
      </c>
      <c r="E48" s="14" t="n">
        <v>41753</v>
      </c>
      <c r="F48" s="14" t="n">
        <v>43032</v>
      </c>
      <c r="G48" s="14" t="n">
        <v>1279</v>
      </c>
      <c r="H48" s="19" t="n">
        <v>3.1</v>
      </c>
    </row>
    <row r="49" customFormat="false" ht="15" hidden="false" customHeight="false" outlineLevel="0" collapsed="false">
      <c r="A49" s="0" t="s">
        <v>18</v>
      </c>
      <c r="B49" s="0" t="n">
        <v>3</v>
      </c>
      <c r="C49" s="0" t="s">
        <v>40</v>
      </c>
      <c r="D49" s="0" t="s">
        <v>47</v>
      </c>
      <c r="E49" s="14" t="n">
        <v>27835</v>
      </c>
      <c r="F49" s="14" t="n">
        <v>32840</v>
      </c>
      <c r="G49" s="14" t="n">
        <v>5005</v>
      </c>
      <c r="H49" s="19" t="n">
        <v>18</v>
      </c>
    </row>
    <row r="50" customFormat="false" ht="15" hidden="false" customHeight="false" outlineLevel="0" collapsed="false">
      <c r="A50" s="0" t="s">
        <v>19</v>
      </c>
      <c r="B50" s="0" t="n">
        <v>4</v>
      </c>
      <c r="C50" s="0" t="s">
        <v>37</v>
      </c>
      <c r="D50" s="0" t="s">
        <v>44</v>
      </c>
      <c r="E50" s="14" t="n">
        <v>222896</v>
      </c>
      <c r="F50" s="14" t="n">
        <v>227700</v>
      </c>
      <c r="G50" s="14" t="n">
        <v>4804</v>
      </c>
      <c r="H50" s="19" t="n">
        <v>2.2</v>
      </c>
    </row>
    <row r="51" customFormat="false" ht="15" hidden="false" customHeight="false" outlineLevel="0" collapsed="false">
      <c r="A51" s="0" t="s">
        <v>19</v>
      </c>
      <c r="B51" s="0" t="n">
        <v>4</v>
      </c>
      <c r="C51" s="0" t="s">
        <v>37</v>
      </c>
      <c r="D51" s="0" t="s">
        <v>45</v>
      </c>
      <c r="E51" s="14" t="n">
        <v>148598</v>
      </c>
      <c r="F51" s="14" t="n">
        <v>142361</v>
      </c>
      <c r="G51" s="14" t="n">
        <v>-6237</v>
      </c>
      <c r="H51" s="19" t="n">
        <v>-4.2</v>
      </c>
    </row>
    <row r="52" customFormat="false" ht="15" hidden="false" customHeight="false" outlineLevel="0" collapsed="false">
      <c r="A52" s="0" t="s">
        <v>19</v>
      </c>
      <c r="B52" s="0" t="n">
        <v>4</v>
      </c>
      <c r="C52" s="0" t="s">
        <v>37</v>
      </c>
      <c r="D52" s="0" t="s">
        <v>46</v>
      </c>
      <c r="E52" s="14" t="n">
        <v>95527</v>
      </c>
      <c r="F52" s="14" t="n">
        <v>110139</v>
      </c>
      <c r="G52" s="14" t="n">
        <v>14612</v>
      </c>
      <c r="H52" s="19" t="n">
        <v>15.3</v>
      </c>
    </row>
    <row r="53" customFormat="false" ht="15" hidden="false" customHeight="false" outlineLevel="0" collapsed="false">
      <c r="A53" s="0" t="s">
        <v>19</v>
      </c>
      <c r="B53" s="0" t="n">
        <v>4</v>
      </c>
      <c r="C53" s="0" t="s">
        <v>37</v>
      </c>
      <c r="D53" s="0" t="s">
        <v>47</v>
      </c>
      <c r="E53" s="14" t="n">
        <v>63685</v>
      </c>
      <c r="F53" s="14" t="n">
        <v>64894</v>
      </c>
      <c r="G53" s="14" t="n">
        <v>1209</v>
      </c>
      <c r="H53" s="19" t="n">
        <v>1.9</v>
      </c>
    </row>
    <row r="54" customFormat="false" ht="15" hidden="false" customHeight="false" outlineLevel="0" collapsed="false">
      <c r="A54" s="0" t="s">
        <v>19</v>
      </c>
      <c r="B54" s="0" t="n">
        <v>4</v>
      </c>
      <c r="C54" s="0" t="s">
        <v>38</v>
      </c>
      <c r="D54" s="0" t="s">
        <v>44</v>
      </c>
      <c r="E54" s="14" t="n">
        <v>157885</v>
      </c>
      <c r="F54" s="14" t="n">
        <v>159166</v>
      </c>
      <c r="G54" s="14" t="n">
        <v>1281</v>
      </c>
      <c r="H54" s="19" t="n">
        <v>0.8</v>
      </c>
    </row>
    <row r="55" customFormat="false" ht="15" hidden="false" customHeight="false" outlineLevel="0" collapsed="false">
      <c r="A55" s="0" t="s">
        <v>19</v>
      </c>
      <c r="B55" s="0" t="n">
        <v>4</v>
      </c>
      <c r="C55" s="0" t="s">
        <v>38</v>
      </c>
      <c r="D55" s="0" t="s">
        <v>45</v>
      </c>
      <c r="E55" s="14" t="n">
        <v>105257</v>
      </c>
      <c r="F55" s="14" t="n">
        <v>107383</v>
      </c>
      <c r="G55" s="14" t="n">
        <v>2126</v>
      </c>
      <c r="H55" s="19" t="n">
        <v>2</v>
      </c>
    </row>
    <row r="56" customFormat="false" ht="15" hidden="false" customHeight="false" outlineLevel="0" collapsed="false">
      <c r="A56" s="0" t="s">
        <v>19</v>
      </c>
      <c r="B56" s="0" t="n">
        <v>4</v>
      </c>
      <c r="C56" s="0" t="s">
        <v>38</v>
      </c>
      <c r="D56" s="0" t="s">
        <v>46</v>
      </c>
      <c r="E56" s="14" t="n">
        <v>67665</v>
      </c>
      <c r="F56" s="14" t="n">
        <v>66948</v>
      </c>
      <c r="G56" s="14" t="n">
        <v>-717</v>
      </c>
      <c r="H56" s="19" t="n">
        <v>-1.1</v>
      </c>
    </row>
    <row r="57" customFormat="false" ht="15" hidden="false" customHeight="false" outlineLevel="0" collapsed="false">
      <c r="A57" s="0" t="s">
        <v>19</v>
      </c>
      <c r="B57" s="0" t="n">
        <v>4</v>
      </c>
      <c r="C57" s="0" t="s">
        <v>38</v>
      </c>
      <c r="D57" s="0" t="s">
        <v>47</v>
      </c>
      <c r="E57" s="14" t="n">
        <v>45110</v>
      </c>
      <c r="F57" s="14" t="n">
        <v>43993</v>
      </c>
      <c r="G57" s="14" t="n">
        <v>-1117</v>
      </c>
      <c r="H57" s="19" t="n">
        <v>-2.5</v>
      </c>
    </row>
    <row r="58" customFormat="false" ht="15" hidden="false" customHeight="false" outlineLevel="0" collapsed="false">
      <c r="A58" s="0" t="s">
        <v>19</v>
      </c>
      <c r="B58" s="0" t="n">
        <v>4</v>
      </c>
      <c r="C58" s="0" t="s">
        <v>39</v>
      </c>
      <c r="D58" s="0" t="s">
        <v>44</v>
      </c>
      <c r="E58" s="14" t="n">
        <v>136988</v>
      </c>
      <c r="F58" s="14" t="n">
        <v>121262</v>
      </c>
      <c r="G58" s="14" t="n">
        <v>-15726</v>
      </c>
      <c r="H58" s="19" t="n">
        <v>-11.5</v>
      </c>
    </row>
    <row r="59" customFormat="false" ht="15" hidden="false" customHeight="false" outlineLevel="0" collapsed="false">
      <c r="A59" s="0" t="s">
        <v>19</v>
      </c>
      <c r="B59" s="0" t="n">
        <v>4</v>
      </c>
      <c r="C59" s="0" t="s">
        <v>39</v>
      </c>
      <c r="D59" s="0" t="s">
        <v>45</v>
      </c>
      <c r="E59" s="14" t="n">
        <v>91326</v>
      </c>
      <c r="F59" s="14" t="n">
        <v>94990</v>
      </c>
      <c r="G59" s="14" t="n">
        <v>3664</v>
      </c>
      <c r="H59" s="19" t="n">
        <v>4</v>
      </c>
    </row>
    <row r="60" customFormat="false" ht="15" hidden="false" customHeight="false" outlineLevel="0" collapsed="false">
      <c r="A60" s="0" t="s">
        <v>19</v>
      </c>
      <c r="B60" s="0" t="n">
        <v>4</v>
      </c>
      <c r="C60" s="0" t="s">
        <v>39</v>
      </c>
      <c r="D60" s="0" t="s">
        <v>46</v>
      </c>
      <c r="E60" s="14" t="n">
        <v>58709</v>
      </c>
      <c r="F60" s="14" t="n">
        <v>58264</v>
      </c>
      <c r="G60" s="14" t="n">
        <v>-445</v>
      </c>
      <c r="H60" s="19" t="n">
        <v>-0.8</v>
      </c>
    </row>
    <row r="61" customFormat="false" ht="15" hidden="false" customHeight="false" outlineLevel="0" collapsed="false">
      <c r="A61" s="0" t="s">
        <v>19</v>
      </c>
      <c r="B61" s="0" t="n">
        <v>4</v>
      </c>
      <c r="C61" s="0" t="s">
        <v>39</v>
      </c>
      <c r="D61" s="0" t="s">
        <v>47</v>
      </c>
      <c r="E61" s="14" t="n">
        <v>39140</v>
      </c>
      <c r="F61" s="14" t="n">
        <v>42875</v>
      </c>
      <c r="G61" s="14" t="n">
        <v>3735</v>
      </c>
      <c r="H61" s="19" t="n">
        <v>9.5</v>
      </c>
    </row>
    <row r="62" customFormat="false" ht="15" hidden="false" customHeight="false" outlineLevel="0" collapsed="false">
      <c r="A62" s="0" t="s">
        <v>19</v>
      </c>
      <c r="B62" s="0" t="n">
        <v>4</v>
      </c>
      <c r="C62" s="0" t="s">
        <v>40</v>
      </c>
      <c r="D62" s="0" t="s">
        <v>44</v>
      </c>
      <c r="E62" s="14" t="n">
        <v>97517</v>
      </c>
      <c r="F62" s="14" t="n">
        <v>94640</v>
      </c>
      <c r="G62" s="14" t="n">
        <v>-2877</v>
      </c>
      <c r="H62" s="19" t="n">
        <v>-3</v>
      </c>
    </row>
    <row r="63" customFormat="false" ht="15" hidden="false" customHeight="false" outlineLevel="0" collapsed="false">
      <c r="A63" s="0" t="s">
        <v>19</v>
      </c>
      <c r="B63" s="0" t="n">
        <v>4</v>
      </c>
      <c r="C63" s="0" t="s">
        <v>40</v>
      </c>
      <c r="D63" s="0" t="s">
        <v>45</v>
      </c>
      <c r="E63" s="14" t="n">
        <v>65011</v>
      </c>
      <c r="F63" s="14" t="n">
        <v>55097</v>
      </c>
      <c r="G63" s="14" t="n">
        <v>-9914</v>
      </c>
      <c r="H63" s="19" t="n">
        <v>-15.2</v>
      </c>
    </row>
    <row r="64" customFormat="false" ht="15" hidden="false" customHeight="false" outlineLevel="0" collapsed="false">
      <c r="A64" s="0" t="s">
        <v>19</v>
      </c>
      <c r="B64" s="0" t="n">
        <v>4</v>
      </c>
      <c r="C64" s="0" t="s">
        <v>40</v>
      </c>
      <c r="D64" s="0" t="s">
        <v>46</v>
      </c>
      <c r="E64" s="14" t="n">
        <v>41793</v>
      </c>
      <c r="F64" s="14" t="n">
        <v>41460</v>
      </c>
      <c r="G64" s="14" t="n">
        <v>-333</v>
      </c>
      <c r="H64" s="19" t="n">
        <v>-0.8</v>
      </c>
    </row>
    <row r="65" customFormat="false" ht="15" hidden="false" customHeight="false" outlineLevel="0" collapsed="false">
      <c r="A65" s="0" t="s">
        <v>19</v>
      </c>
      <c r="B65" s="0" t="n">
        <v>4</v>
      </c>
      <c r="C65" s="0" t="s">
        <v>40</v>
      </c>
      <c r="D65" s="0" t="s">
        <v>47</v>
      </c>
      <c r="E65" s="14" t="n">
        <v>27862</v>
      </c>
      <c r="F65" s="14" t="n">
        <v>31650</v>
      </c>
      <c r="G65" s="14" t="n">
        <v>3788</v>
      </c>
      <c r="H65" s="19" t="n">
        <v>13.6</v>
      </c>
    </row>
    <row r="66" customFormat="false" ht="15" hidden="false" customHeight="false" outlineLevel="0" collapsed="false">
      <c r="A66" s="0" t="s">
        <v>20</v>
      </c>
      <c r="B66" s="0" t="n">
        <v>5</v>
      </c>
      <c r="C66" s="0" t="s">
        <v>37</v>
      </c>
      <c r="D66" s="0" t="s">
        <v>44</v>
      </c>
      <c r="E66" s="14" t="n">
        <v>218491</v>
      </c>
      <c r="F66" s="14" t="n">
        <v>211789</v>
      </c>
      <c r="G66" s="14" t="n">
        <v>-6702</v>
      </c>
      <c r="H66" s="19" t="n">
        <v>-3.1</v>
      </c>
    </row>
    <row r="67" customFormat="false" ht="15" hidden="false" customHeight="false" outlineLevel="0" collapsed="false">
      <c r="A67" s="0" t="s">
        <v>20</v>
      </c>
      <c r="B67" s="0" t="n">
        <v>5</v>
      </c>
      <c r="C67" s="0" t="s">
        <v>37</v>
      </c>
      <c r="D67" s="0" t="s">
        <v>45</v>
      </c>
      <c r="E67" s="14" t="n">
        <v>145661</v>
      </c>
      <c r="F67" s="14" t="n">
        <v>135291</v>
      </c>
      <c r="G67" s="14" t="n">
        <v>-10370</v>
      </c>
      <c r="H67" s="19" t="n">
        <v>-7.1</v>
      </c>
    </row>
    <row r="68" customFormat="false" ht="15" hidden="false" customHeight="false" outlineLevel="0" collapsed="false">
      <c r="A68" s="0" t="s">
        <v>20</v>
      </c>
      <c r="B68" s="0" t="n">
        <v>5</v>
      </c>
      <c r="C68" s="0" t="s">
        <v>37</v>
      </c>
      <c r="D68" s="0" t="s">
        <v>46</v>
      </c>
      <c r="E68" s="14" t="n">
        <v>93639</v>
      </c>
      <c r="F68" s="14" t="n">
        <v>84698</v>
      </c>
      <c r="G68" s="14" t="n">
        <v>-8941</v>
      </c>
      <c r="H68" s="19" t="n">
        <v>-9.5</v>
      </c>
    </row>
    <row r="69" customFormat="false" ht="15" hidden="false" customHeight="false" outlineLevel="0" collapsed="false">
      <c r="A69" s="0" t="s">
        <v>20</v>
      </c>
      <c r="B69" s="0" t="n">
        <v>5</v>
      </c>
      <c r="C69" s="0" t="s">
        <v>37</v>
      </c>
      <c r="D69" s="0" t="s">
        <v>47</v>
      </c>
      <c r="E69" s="14" t="n">
        <v>62426</v>
      </c>
      <c r="F69" s="14" t="n">
        <v>57182</v>
      </c>
      <c r="G69" s="14" t="n">
        <v>-5244</v>
      </c>
      <c r="H69" s="19" t="n">
        <v>-8.4</v>
      </c>
    </row>
    <row r="70" customFormat="false" ht="15" hidden="false" customHeight="false" outlineLevel="0" collapsed="false">
      <c r="A70" s="0" t="s">
        <v>20</v>
      </c>
      <c r="B70" s="0" t="n">
        <v>5</v>
      </c>
      <c r="C70" s="0" t="s">
        <v>38</v>
      </c>
      <c r="D70" s="0" t="s">
        <v>44</v>
      </c>
      <c r="E70" s="14" t="n">
        <v>154765</v>
      </c>
      <c r="F70" s="14" t="n">
        <v>151048</v>
      </c>
      <c r="G70" s="14" t="n">
        <v>-3717</v>
      </c>
      <c r="H70" s="19" t="n">
        <v>-2.4</v>
      </c>
    </row>
    <row r="71" customFormat="false" ht="15" hidden="false" customHeight="false" outlineLevel="0" collapsed="false">
      <c r="A71" s="0" t="s">
        <v>20</v>
      </c>
      <c r="B71" s="0" t="n">
        <v>5</v>
      </c>
      <c r="C71" s="0" t="s">
        <v>38</v>
      </c>
      <c r="D71" s="0" t="s">
        <v>45</v>
      </c>
      <c r="E71" s="14" t="n">
        <v>103176</v>
      </c>
      <c r="F71" s="14" t="n">
        <v>93437</v>
      </c>
      <c r="G71" s="14" t="n">
        <v>-9739</v>
      </c>
      <c r="H71" s="19" t="n">
        <v>-9.4</v>
      </c>
    </row>
    <row r="72" customFormat="false" ht="15" hidden="false" customHeight="false" outlineLevel="0" collapsed="false">
      <c r="A72" s="0" t="s">
        <v>20</v>
      </c>
      <c r="B72" s="0" t="n">
        <v>5</v>
      </c>
      <c r="C72" s="0" t="s">
        <v>38</v>
      </c>
      <c r="D72" s="0" t="s">
        <v>46</v>
      </c>
      <c r="E72" s="14" t="n">
        <v>66328</v>
      </c>
      <c r="F72" s="14" t="n">
        <v>74274</v>
      </c>
      <c r="G72" s="14" t="n">
        <v>7946</v>
      </c>
      <c r="H72" s="19" t="n">
        <v>12</v>
      </c>
    </row>
    <row r="73" customFormat="false" ht="15" hidden="false" customHeight="false" outlineLevel="0" collapsed="false">
      <c r="A73" s="0" t="s">
        <v>20</v>
      </c>
      <c r="B73" s="0" t="n">
        <v>5</v>
      </c>
      <c r="C73" s="0" t="s">
        <v>38</v>
      </c>
      <c r="D73" s="0" t="s">
        <v>47</v>
      </c>
      <c r="E73" s="14" t="n">
        <v>44218</v>
      </c>
      <c r="F73" s="14" t="n">
        <v>43219</v>
      </c>
      <c r="G73" s="14" t="n">
        <v>-999</v>
      </c>
      <c r="H73" s="19" t="n">
        <v>-2.3</v>
      </c>
    </row>
    <row r="74" customFormat="false" ht="15" hidden="false" customHeight="false" outlineLevel="0" collapsed="false">
      <c r="A74" s="0" t="s">
        <v>20</v>
      </c>
      <c r="B74" s="0" t="n">
        <v>5</v>
      </c>
      <c r="C74" s="0" t="s">
        <v>39</v>
      </c>
      <c r="D74" s="0" t="s">
        <v>44</v>
      </c>
      <c r="E74" s="14" t="n">
        <v>134281</v>
      </c>
      <c r="F74" s="14" t="n">
        <v>135448</v>
      </c>
      <c r="G74" s="14" t="n">
        <v>1167</v>
      </c>
      <c r="H74" s="19" t="n">
        <v>0.9</v>
      </c>
    </row>
    <row r="75" customFormat="false" ht="15" hidden="false" customHeight="false" outlineLevel="0" collapsed="false">
      <c r="A75" s="0" t="s">
        <v>20</v>
      </c>
      <c r="B75" s="0" t="n">
        <v>5</v>
      </c>
      <c r="C75" s="0" t="s">
        <v>39</v>
      </c>
      <c r="D75" s="0" t="s">
        <v>45</v>
      </c>
      <c r="E75" s="14" t="n">
        <v>89521</v>
      </c>
      <c r="F75" s="14" t="n">
        <v>99821</v>
      </c>
      <c r="G75" s="14" t="n">
        <v>10300</v>
      </c>
      <c r="H75" s="19" t="n">
        <v>11.5</v>
      </c>
    </row>
    <row r="76" customFormat="false" ht="15" hidden="false" customHeight="false" outlineLevel="0" collapsed="false">
      <c r="A76" s="0" t="s">
        <v>20</v>
      </c>
      <c r="B76" s="0" t="n">
        <v>5</v>
      </c>
      <c r="C76" s="0" t="s">
        <v>39</v>
      </c>
      <c r="D76" s="0" t="s">
        <v>46</v>
      </c>
      <c r="E76" s="14" t="n">
        <v>57549</v>
      </c>
      <c r="F76" s="14" t="n">
        <v>64470</v>
      </c>
      <c r="G76" s="14" t="n">
        <v>6921</v>
      </c>
      <c r="H76" s="19" t="n">
        <v>12</v>
      </c>
    </row>
    <row r="77" customFormat="false" ht="15" hidden="false" customHeight="false" outlineLevel="0" collapsed="false">
      <c r="A77" s="0" t="s">
        <v>20</v>
      </c>
      <c r="B77" s="0" t="n">
        <v>5</v>
      </c>
      <c r="C77" s="0" t="s">
        <v>39</v>
      </c>
      <c r="D77" s="0" t="s">
        <v>47</v>
      </c>
      <c r="E77" s="14" t="n">
        <v>38366</v>
      </c>
      <c r="F77" s="14" t="n">
        <v>37713</v>
      </c>
      <c r="G77" s="14" t="n">
        <v>-653</v>
      </c>
      <c r="H77" s="19" t="n">
        <v>-1.7</v>
      </c>
    </row>
    <row r="78" customFormat="false" ht="15" hidden="false" customHeight="false" outlineLevel="0" collapsed="false">
      <c r="A78" s="0" t="s">
        <v>20</v>
      </c>
      <c r="B78" s="0" t="n">
        <v>5</v>
      </c>
      <c r="C78" s="0" t="s">
        <v>40</v>
      </c>
      <c r="D78" s="0" t="s">
        <v>44</v>
      </c>
      <c r="E78" s="14" t="n">
        <v>95590</v>
      </c>
      <c r="F78" s="14" t="n">
        <v>98129</v>
      </c>
      <c r="G78" s="14" t="n">
        <v>2539</v>
      </c>
      <c r="H78" s="19" t="n">
        <v>2.7</v>
      </c>
    </row>
    <row r="79" customFormat="false" ht="15" hidden="false" customHeight="false" outlineLevel="0" collapsed="false">
      <c r="A79" s="0" t="s">
        <v>20</v>
      </c>
      <c r="B79" s="0" t="n">
        <v>5</v>
      </c>
      <c r="C79" s="0" t="s">
        <v>40</v>
      </c>
      <c r="D79" s="0" t="s">
        <v>45</v>
      </c>
      <c r="E79" s="14" t="n">
        <v>63727</v>
      </c>
      <c r="F79" s="14" t="n">
        <v>67474</v>
      </c>
      <c r="G79" s="14" t="n">
        <v>3747</v>
      </c>
      <c r="H79" s="19" t="n">
        <v>5.9</v>
      </c>
    </row>
    <row r="80" customFormat="false" ht="15" hidden="false" customHeight="false" outlineLevel="0" collapsed="false">
      <c r="A80" s="0" t="s">
        <v>20</v>
      </c>
      <c r="B80" s="0" t="n">
        <v>5</v>
      </c>
      <c r="C80" s="0" t="s">
        <v>40</v>
      </c>
      <c r="D80" s="0" t="s">
        <v>46</v>
      </c>
      <c r="E80" s="14" t="n">
        <v>40967</v>
      </c>
      <c r="F80" s="14" t="n">
        <v>40335</v>
      </c>
      <c r="G80" s="14" t="n">
        <v>-632</v>
      </c>
      <c r="H80" s="19" t="n">
        <v>-1.5</v>
      </c>
    </row>
    <row r="81" customFormat="false" ht="15" hidden="false" customHeight="false" outlineLevel="0" collapsed="false">
      <c r="A81" s="0" t="s">
        <v>20</v>
      </c>
      <c r="B81" s="0" t="n">
        <v>5</v>
      </c>
      <c r="C81" s="0" t="s">
        <v>40</v>
      </c>
      <c r="D81" s="0" t="s">
        <v>47</v>
      </c>
      <c r="E81" s="14" t="n">
        <v>27311</v>
      </c>
      <c r="F81" s="14" t="n">
        <v>23427</v>
      </c>
      <c r="G81" s="14" t="n">
        <v>-3884</v>
      </c>
      <c r="H81" s="19" t="n">
        <v>-14.2</v>
      </c>
    </row>
    <row r="82" customFormat="false" ht="15" hidden="false" customHeight="false" outlineLevel="0" collapsed="false">
      <c r="A82" s="0" t="s">
        <v>21</v>
      </c>
      <c r="B82" s="0" t="n">
        <v>6</v>
      </c>
      <c r="C82" s="0" t="s">
        <v>37</v>
      </c>
      <c r="D82" s="0" t="s">
        <v>44</v>
      </c>
      <c r="E82" s="14" t="n">
        <v>210971</v>
      </c>
      <c r="F82" s="14" t="n">
        <v>222021</v>
      </c>
      <c r="G82" s="14" t="n">
        <v>11050</v>
      </c>
      <c r="H82" s="19" t="n">
        <v>5.2</v>
      </c>
    </row>
    <row r="83" customFormat="false" ht="15" hidden="false" customHeight="false" outlineLevel="0" collapsed="false">
      <c r="A83" s="0" t="s">
        <v>21</v>
      </c>
      <c r="B83" s="0" t="n">
        <v>6</v>
      </c>
      <c r="C83" s="0" t="s">
        <v>37</v>
      </c>
      <c r="D83" s="0" t="s">
        <v>45</v>
      </c>
      <c r="E83" s="14" t="n">
        <v>140647</v>
      </c>
      <c r="F83" s="14" t="n">
        <v>150711</v>
      </c>
      <c r="G83" s="14" t="n">
        <v>10064</v>
      </c>
      <c r="H83" s="19" t="n">
        <v>7.2</v>
      </c>
    </row>
    <row r="84" customFormat="false" ht="15" hidden="false" customHeight="false" outlineLevel="0" collapsed="false">
      <c r="A84" s="0" t="s">
        <v>21</v>
      </c>
      <c r="B84" s="0" t="n">
        <v>6</v>
      </c>
      <c r="C84" s="0" t="s">
        <v>37</v>
      </c>
      <c r="D84" s="0" t="s">
        <v>46</v>
      </c>
      <c r="E84" s="14" t="n">
        <v>90416</v>
      </c>
      <c r="F84" s="14" t="n">
        <v>93422</v>
      </c>
      <c r="G84" s="14" t="n">
        <v>3006</v>
      </c>
      <c r="H84" s="19" t="n">
        <v>3.3</v>
      </c>
    </row>
    <row r="85" customFormat="false" ht="15" hidden="false" customHeight="false" outlineLevel="0" collapsed="false">
      <c r="A85" s="0" t="s">
        <v>21</v>
      </c>
      <c r="B85" s="0" t="n">
        <v>6</v>
      </c>
      <c r="C85" s="0" t="s">
        <v>37</v>
      </c>
      <c r="D85" s="0" t="s">
        <v>47</v>
      </c>
      <c r="E85" s="14" t="n">
        <v>60277</v>
      </c>
      <c r="F85" s="14" t="n">
        <v>55824</v>
      </c>
      <c r="G85" s="14" t="n">
        <v>-4453</v>
      </c>
      <c r="H85" s="19" t="n">
        <v>-7.4</v>
      </c>
    </row>
    <row r="86" customFormat="false" ht="15" hidden="false" customHeight="false" outlineLevel="0" collapsed="false">
      <c r="A86" s="0" t="s">
        <v>21</v>
      </c>
      <c r="B86" s="0" t="n">
        <v>6</v>
      </c>
      <c r="C86" s="0" t="s">
        <v>38</v>
      </c>
      <c r="D86" s="0" t="s">
        <v>44</v>
      </c>
      <c r="E86" s="14" t="n">
        <v>149438</v>
      </c>
      <c r="F86" s="14" t="n">
        <v>147094</v>
      </c>
      <c r="G86" s="14" t="n">
        <v>-2344</v>
      </c>
      <c r="H86" s="19" t="n">
        <v>-1.6</v>
      </c>
    </row>
    <row r="87" customFormat="false" ht="15" hidden="false" customHeight="false" outlineLevel="0" collapsed="false">
      <c r="A87" s="0" t="s">
        <v>21</v>
      </c>
      <c r="B87" s="0" t="n">
        <v>6</v>
      </c>
      <c r="C87" s="0" t="s">
        <v>38</v>
      </c>
      <c r="D87" s="0" t="s">
        <v>45</v>
      </c>
      <c r="E87" s="14" t="n">
        <v>99625</v>
      </c>
      <c r="F87" s="14" t="n">
        <v>94917</v>
      </c>
      <c r="G87" s="14" t="n">
        <v>-4708</v>
      </c>
      <c r="H87" s="19" t="n">
        <v>-4.7</v>
      </c>
    </row>
    <row r="88" customFormat="false" ht="15" hidden="false" customHeight="false" outlineLevel="0" collapsed="false">
      <c r="A88" s="0" t="s">
        <v>21</v>
      </c>
      <c r="B88" s="0" t="n">
        <v>6</v>
      </c>
      <c r="C88" s="0" t="s">
        <v>38</v>
      </c>
      <c r="D88" s="0" t="s">
        <v>46</v>
      </c>
      <c r="E88" s="14" t="n">
        <v>64045</v>
      </c>
      <c r="F88" s="14" t="n">
        <v>62509</v>
      </c>
      <c r="G88" s="14" t="n">
        <v>-1536</v>
      </c>
      <c r="H88" s="19" t="n">
        <v>-2.4</v>
      </c>
    </row>
    <row r="89" customFormat="false" ht="15" hidden="false" customHeight="false" outlineLevel="0" collapsed="false">
      <c r="A89" s="0" t="s">
        <v>21</v>
      </c>
      <c r="B89" s="0" t="n">
        <v>6</v>
      </c>
      <c r="C89" s="0" t="s">
        <v>38</v>
      </c>
      <c r="D89" s="0" t="s">
        <v>47</v>
      </c>
      <c r="E89" s="14" t="n">
        <v>42697</v>
      </c>
      <c r="F89" s="14" t="n">
        <v>47126</v>
      </c>
      <c r="G89" s="14" t="n">
        <v>4429</v>
      </c>
      <c r="H89" s="19" t="n">
        <v>10.4</v>
      </c>
    </row>
    <row r="90" customFormat="false" ht="15" hidden="false" customHeight="false" outlineLevel="0" collapsed="false">
      <c r="A90" s="0" t="s">
        <v>21</v>
      </c>
      <c r="B90" s="0" t="n">
        <v>6</v>
      </c>
      <c r="C90" s="0" t="s">
        <v>39</v>
      </c>
      <c r="D90" s="0" t="s">
        <v>44</v>
      </c>
      <c r="E90" s="14" t="n">
        <v>129659</v>
      </c>
      <c r="F90" s="14" t="n">
        <v>145525</v>
      </c>
      <c r="G90" s="14" t="n">
        <v>15866</v>
      </c>
      <c r="H90" s="19" t="n">
        <v>12.2</v>
      </c>
    </row>
    <row r="91" customFormat="false" ht="15" hidden="false" customHeight="false" outlineLevel="0" collapsed="false">
      <c r="A91" s="0" t="s">
        <v>21</v>
      </c>
      <c r="B91" s="0" t="n">
        <v>6</v>
      </c>
      <c r="C91" s="0" t="s">
        <v>39</v>
      </c>
      <c r="D91" s="0" t="s">
        <v>45</v>
      </c>
      <c r="E91" s="14" t="n">
        <v>86440</v>
      </c>
      <c r="F91" s="14" t="n">
        <v>91069</v>
      </c>
      <c r="G91" s="14" t="n">
        <v>4629</v>
      </c>
      <c r="H91" s="19" t="n">
        <v>5.4</v>
      </c>
    </row>
    <row r="92" customFormat="false" ht="15" hidden="false" customHeight="false" outlineLevel="0" collapsed="false">
      <c r="A92" s="0" t="s">
        <v>21</v>
      </c>
      <c r="B92" s="0" t="n">
        <v>6</v>
      </c>
      <c r="C92" s="0" t="s">
        <v>39</v>
      </c>
      <c r="D92" s="0" t="s">
        <v>46</v>
      </c>
      <c r="E92" s="14" t="n">
        <v>55568</v>
      </c>
      <c r="F92" s="14" t="n">
        <v>58008</v>
      </c>
      <c r="G92" s="14" t="n">
        <v>2440</v>
      </c>
      <c r="H92" s="19" t="n">
        <v>4.4</v>
      </c>
    </row>
    <row r="93" customFormat="false" ht="15" hidden="false" customHeight="false" outlineLevel="0" collapsed="false">
      <c r="A93" s="0" t="s">
        <v>21</v>
      </c>
      <c r="B93" s="0" t="n">
        <v>6</v>
      </c>
      <c r="C93" s="0" t="s">
        <v>39</v>
      </c>
      <c r="D93" s="0" t="s">
        <v>47</v>
      </c>
      <c r="E93" s="14" t="n">
        <v>37046</v>
      </c>
      <c r="F93" s="14" t="n">
        <v>39051</v>
      </c>
      <c r="G93" s="14" t="n">
        <v>2005</v>
      </c>
      <c r="H93" s="19" t="n">
        <v>5.4</v>
      </c>
    </row>
    <row r="94" customFormat="false" ht="15" hidden="false" customHeight="false" outlineLevel="0" collapsed="false">
      <c r="A94" s="0" t="s">
        <v>21</v>
      </c>
      <c r="B94" s="0" t="n">
        <v>6</v>
      </c>
      <c r="C94" s="0" t="s">
        <v>40</v>
      </c>
      <c r="D94" s="0" t="s">
        <v>44</v>
      </c>
      <c r="E94" s="14" t="n">
        <v>92300</v>
      </c>
      <c r="F94" s="14" t="n">
        <v>92209</v>
      </c>
      <c r="G94" s="14" t="n">
        <v>-91</v>
      </c>
      <c r="H94" s="19" t="n">
        <v>-0.1</v>
      </c>
    </row>
    <row r="95" customFormat="false" ht="15" hidden="false" customHeight="false" outlineLevel="0" collapsed="false">
      <c r="A95" s="0" t="s">
        <v>21</v>
      </c>
      <c r="B95" s="0" t="n">
        <v>6</v>
      </c>
      <c r="C95" s="0" t="s">
        <v>40</v>
      </c>
      <c r="D95" s="0" t="s">
        <v>45</v>
      </c>
      <c r="E95" s="14" t="n">
        <v>61533</v>
      </c>
      <c r="F95" s="14" t="n">
        <v>61161</v>
      </c>
      <c r="G95" s="14" t="n">
        <v>-372</v>
      </c>
      <c r="H95" s="19" t="n">
        <v>-0.6</v>
      </c>
    </row>
    <row r="96" customFormat="false" ht="15" hidden="false" customHeight="false" outlineLevel="0" collapsed="false">
      <c r="A96" s="0" t="s">
        <v>21</v>
      </c>
      <c r="B96" s="0" t="n">
        <v>6</v>
      </c>
      <c r="C96" s="0" t="s">
        <v>40</v>
      </c>
      <c r="D96" s="0" t="s">
        <v>46</v>
      </c>
      <c r="E96" s="14" t="n">
        <v>39557</v>
      </c>
      <c r="F96" s="14" t="n">
        <v>37425</v>
      </c>
      <c r="G96" s="14" t="n">
        <v>-2132</v>
      </c>
      <c r="H96" s="19" t="n">
        <v>-5.4</v>
      </c>
    </row>
    <row r="97" customFormat="false" ht="15" hidden="false" customHeight="false" outlineLevel="0" collapsed="false">
      <c r="A97" s="0" t="s">
        <v>21</v>
      </c>
      <c r="B97" s="0" t="n">
        <v>6</v>
      </c>
      <c r="C97" s="0" t="s">
        <v>40</v>
      </c>
      <c r="D97" s="0" t="s">
        <v>47</v>
      </c>
      <c r="E97" s="14" t="n">
        <v>26371</v>
      </c>
      <c r="F97" s="14" t="n">
        <v>26254</v>
      </c>
      <c r="G97" s="14" t="n">
        <v>-117</v>
      </c>
      <c r="H97" s="19" t="n">
        <v>-0.4</v>
      </c>
    </row>
    <row r="98" customFormat="false" ht="15" hidden="false" customHeight="false" outlineLevel="0" collapsed="false">
      <c r="A98" s="0" t="s">
        <v>22</v>
      </c>
      <c r="B98" s="0" t="n">
        <v>7</v>
      </c>
      <c r="C98" s="0" t="s">
        <v>37</v>
      </c>
      <c r="D98" s="0" t="s">
        <v>44</v>
      </c>
      <c r="E98" s="14" t="n">
        <v>202705</v>
      </c>
      <c r="F98" s="14" t="n">
        <v>239353</v>
      </c>
      <c r="G98" s="14" t="n">
        <v>36648</v>
      </c>
      <c r="H98" s="19" t="n">
        <v>18.1</v>
      </c>
    </row>
    <row r="99" customFormat="false" ht="15" hidden="false" customHeight="false" outlineLevel="0" collapsed="false">
      <c r="A99" s="0" t="s">
        <v>22</v>
      </c>
      <c r="B99" s="0" t="n">
        <v>7</v>
      </c>
      <c r="C99" s="0" t="s">
        <v>37</v>
      </c>
      <c r="D99" s="0" t="s">
        <v>45</v>
      </c>
      <c r="E99" s="14" t="n">
        <v>135137</v>
      </c>
      <c r="F99" s="14" t="n">
        <v>144532</v>
      </c>
      <c r="G99" s="14" t="n">
        <v>9395</v>
      </c>
      <c r="H99" s="19" t="n">
        <v>7</v>
      </c>
    </row>
    <row r="100" customFormat="false" ht="15" hidden="false" customHeight="false" outlineLevel="0" collapsed="false">
      <c r="A100" s="0" t="s">
        <v>22</v>
      </c>
      <c r="B100" s="0" t="n">
        <v>7</v>
      </c>
      <c r="C100" s="0" t="s">
        <v>37</v>
      </c>
      <c r="D100" s="0" t="s">
        <v>46</v>
      </c>
      <c r="E100" s="14" t="n">
        <v>86874</v>
      </c>
      <c r="F100" s="14" t="n">
        <v>84496</v>
      </c>
      <c r="G100" s="14" t="n">
        <v>-2378</v>
      </c>
      <c r="H100" s="19" t="n">
        <v>-2.7</v>
      </c>
    </row>
    <row r="101" customFormat="false" ht="15" hidden="false" customHeight="false" outlineLevel="0" collapsed="false">
      <c r="A101" s="0" t="s">
        <v>22</v>
      </c>
      <c r="B101" s="0" t="n">
        <v>7</v>
      </c>
      <c r="C101" s="0" t="s">
        <v>37</v>
      </c>
      <c r="D101" s="0" t="s">
        <v>47</v>
      </c>
      <c r="E101" s="14" t="n">
        <v>57916</v>
      </c>
      <c r="F101" s="14" t="n">
        <v>55729</v>
      </c>
      <c r="G101" s="14" t="n">
        <v>-2187</v>
      </c>
      <c r="H101" s="19" t="n">
        <v>-3.8</v>
      </c>
    </row>
    <row r="102" customFormat="false" ht="15" hidden="false" customHeight="false" outlineLevel="0" collapsed="false">
      <c r="A102" s="0" t="s">
        <v>22</v>
      </c>
      <c r="B102" s="0" t="n">
        <v>7</v>
      </c>
      <c r="C102" s="0" t="s">
        <v>38</v>
      </c>
      <c r="D102" s="0" t="s">
        <v>44</v>
      </c>
      <c r="E102" s="14" t="n">
        <v>143583</v>
      </c>
      <c r="F102" s="14" t="n">
        <v>133653</v>
      </c>
      <c r="G102" s="14" t="n">
        <v>-9930</v>
      </c>
      <c r="H102" s="19" t="n">
        <v>-6.9</v>
      </c>
    </row>
    <row r="103" customFormat="false" ht="15" hidden="false" customHeight="false" outlineLevel="0" collapsed="false">
      <c r="A103" s="0" t="s">
        <v>22</v>
      </c>
      <c r="B103" s="0" t="n">
        <v>7</v>
      </c>
      <c r="C103" s="0" t="s">
        <v>38</v>
      </c>
      <c r="D103" s="0" t="s">
        <v>45</v>
      </c>
      <c r="E103" s="14" t="n">
        <v>95722</v>
      </c>
      <c r="F103" s="14" t="n">
        <v>98589</v>
      </c>
      <c r="G103" s="14" t="n">
        <v>2867</v>
      </c>
      <c r="H103" s="19" t="n">
        <v>3</v>
      </c>
    </row>
    <row r="104" customFormat="false" ht="15" hidden="false" customHeight="false" outlineLevel="0" collapsed="false">
      <c r="A104" s="0" t="s">
        <v>22</v>
      </c>
      <c r="B104" s="0" t="n">
        <v>7</v>
      </c>
      <c r="C104" s="0" t="s">
        <v>38</v>
      </c>
      <c r="D104" s="0" t="s">
        <v>46</v>
      </c>
      <c r="E104" s="14" t="n">
        <v>61535</v>
      </c>
      <c r="F104" s="14" t="n">
        <v>63463</v>
      </c>
      <c r="G104" s="14" t="n">
        <v>1928</v>
      </c>
      <c r="H104" s="19" t="n">
        <v>3.1</v>
      </c>
    </row>
    <row r="105" customFormat="false" ht="15" hidden="false" customHeight="false" outlineLevel="0" collapsed="false">
      <c r="A105" s="0" t="s">
        <v>22</v>
      </c>
      <c r="B105" s="0" t="n">
        <v>7</v>
      </c>
      <c r="C105" s="0" t="s">
        <v>38</v>
      </c>
      <c r="D105" s="0" t="s">
        <v>47</v>
      </c>
      <c r="E105" s="14" t="n">
        <v>41024</v>
      </c>
      <c r="F105" s="14" t="n">
        <v>36287</v>
      </c>
      <c r="G105" s="14" t="n">
        <v>-4737</v>
      </c>
      <c r="H105" s="19" t="n">
        <v>-11.5</v>
      </c>
    </row>
    <row r="106" customFormat="false" ht="15" hidden="false" customHeight="false" outlineLevel="0" collapsed="false">
      <c r="A106" s="0" t="s">
        <v>22</v>
      </c>
      <c r="B106" s="0" t="n">
        <v>7</v>
      </c>
      <c r="C106" s="0" t="s">
        <v>39</v>
      </c>
      <c r="D106" s="0" t="s">
        <v>44</v>
      </c>
      <c r="E106" s="14" t="n">
        <v>124579</v>
      </c>
      <c r="F106" s="14" t="n">
        <v>129426</v>
      </c>
      <c r="G106" s="14" t="n">
        <v>4847</v>
      </c>
      <c r="H106" s="19" t="n">
        <v>3.9</v>
      </c>
    </row>
    <row r="107" customFormat="false" ht="15" hidden="false" customHeight="false" outlineLevel="0" collapsed="false">
      <c r="A107" s="0" t="s">
        <v>22</v>
      </c>
      <c r="B107" s="0" t="n">
        <v>7</v>
      </c>
      <c r="C107" s="0" t="s">
        <v>39</v>
      </c>
      <c r="D107" s="0" t="s">
        <v>45</v>
      </c>
      <c r="E107" s="14" t="n">
        <v>83053</v>
      </c>
      <c r="F107" s="14" t="n">
        <v>79269</v>
      </c>
      <c r="G107" s="14" t="n">
        <v>-3784</v>
      </c>
      <c r="H107" s="19" t="n">
        <v>-4.6</v>
      </c>
    </row>
    <row r="108" customFormat="false" ht="15" hidden="false" customHeight="false" outlineLevel="0" collapsed="false">
      <c r="A108" s="0" t="s">
        <v>22</v>
      </c>
      <c r="B108" s="0" t="n">
        <v>7</v>
      </c>
      <c r="C108" s="0" t="s">
        <v>39</v>
      </c>
      <c r="D108" s="0" t="s">
        <v>46</v>
      </c>
      <c r="E108" s="14" t="n">
        <v>53391</v>
      </c>
      <c r="F108" s="14" t="n">
        <v>59485</v>
      </c>
      <c r="G108" s="14" t="n">
        <v>6094</v>
      </c>
      <c r="H108" s="19" t="n">
        <v>11.4</v>
      </c>
    </row>
    <row r="109" customFormat="false" ht="15" hidden="false" customHeight="false" outlineLevel="0" collapsed="false">
      <c r="A109" s="0" t="s">
        <v>22</v>
      </c>
      <c r="B109" s="0" t="n">
        <v>7</v>
      </c>
      <c r="C109" s="0" t="s">
        <v>39</v>
      </c>
      <c r="D109" s="0" t="s">
        <v>47</v>
      </c>
      <c r="E109" s="14" t="n">
        <v>35594</v>
      </c>
      <c r="F109" s="14" t="n">
        <v>36041</v>
      </c>
      <c r="G109" s="14" t="n">
        <v>447</v>
      </c>
      <c r="H109" s="19" t="n">
        <v>1.3</v>
      </c>
    </row>
    <row r="110" customFormat="false" ht="15" hidden="false" customHeight="false" outlineLevel="0" collapsed="false">
      <c r="A110" s="0" t="s">
        <v>22</v>
      </c>
      <c r="B110" s="0" t="n">
        <v>7</v>
      </c>
      <c r="C110" s="0" t="s">
        <v>40</v>
      </c>
      <c r="D110" s="0" t="s">
        <v>44</v>
      </c>
      <c r="E110" s="14" t="n">
        <v>88683</v>
      </c>
      <c r="F110" s="14" t="n">
        <v>100870</v>
      </c>
      <c r="G110" s="14" t="n">
        <v>12187</v>
      </c>
      <c r="H110" s="19" t="n">
        <v>13.7</v>
      </c>
    </row>
    <row r="111" customFormat="false" ht="15" hidden="false" customHeight="false" outlineLevel="0" collapsed="false">
      <c r="A111" s="0" t="s">
        <v>22</v>
      </c>
      <c r="B111" s="0" t="n">
        <v>7</v>
      </c>
      <c r="C111" s="0" t="s">
        <v>40</v>
      </c>
      <c r="D111" s="0" t="s">
        <v>45</v>
      </c>
      <c r="E111" s="14" t="n">
        <v>59122</v>
      </c>
      <c r="F111" s="14" t="n">
        <v>56955</v>
      </c>
      <c r="G111" s="14" t="n">
        <v>-2167</v>
      </c>
      <c r="H111" s="19" t="n">
        <v>-3.7</v>
      </c>
    </row>
    <row r="112" customFormat="false" ht="15" hidden="false" customHeight="false" outlineLevel="0" collapsed="false">
      <c r="A112" s="0" t="s">
        <v>22</v>
      </c>
      <c r="B112" s="0" t="n">
        <v>7</v>
      </c>
      <c r="C112" s="0" t="s">
        <v>40</v>
      </c>
      <c r="D112" s="0" t="s">
        <v>46</v>
      </c>
      <c r="E112" s="14" t="n">
        <v>38007</v>
      </c>
      <c r="F112" s="14" t="n">
        <v>37132</v>
      </c>
      <c r="G112" s="14" t="n">
        <v>-875</v>
      </c>
      <c r="H112" s="19" t="n">
        <v>-2.3</v>
      </c>
    </row>
    <row r="113" customFormat="false" ht="15" hidden="false" customHeight="false" outlineLevel="0" collapsed="false">
      <c r="A113" s="0" t="s">
        <v>22</v>
      </c>
      <c r="B113" s="0" t="n">
        <v>7</v>
      </c>
      <c r="C113" s="0" t="s">
        <v>40</v>
      </c>
      <c r="D113" s="0" t="s">
        <v>47</v>
      </c>
      <c r="E113" s="14" t="n">
        <v>25338</v>
      </c>
      <c r="F113" s="14" t="n">
        <v>25946</v>
      </c>
      <c r="G113" s="14" t="n">
        <v>608</v>
      </c>
      <c r="H113" s="19" t="n">
        <v>2.4</v>
      </c>
    </row>
    <row r="114" customFormat="false" ht="15" hidden="false" customHeight="false" outlineLevel="0" collapsed="false">
      <c r="A114" s="0" t="s">
        <v>23</v>
      </c>
      <c r="B114" s="0" t="n">
        <v>8</v>
      </c>
      <c r="C114" s="0" t="s">
        <v>37</v>
      </c>
      <c r="D114" s="0" t="s">
        <v>44</v>
      </c>
      <c r="E114" s="14" t="n">
        <v>196294</v>
      </c>
      <c r="F114" s="14" t="n">
        <v>212876</v>
      </c>
      <c r="G114" s="14" t="n">
        <v>16582</v>
      </c>
      <c r="H114" s="19" t="n">
        <v>8.4</v>
      </c>
    </row>
    <row r="115" customFormat="false" ht="15" hidden="false" customHeight="false" outlineLevel="0" collapsed="false">
      <c r="A115" s="0" t="s">
        <v>23</v>
      </c>
      <c r="B115" s="0" t="n">
        <v>8</v>
      </c>
      <c r="C115" s="0" t="s">
        <v>37</v>
      </c>
      <c r="D115" s="0" t="s">
        <v>45</v>
      </c>
      <c r="E115" s="14" t="n">
        <v>130863</v>
      </c>
      <c r="F115" s="14" t="n">
        <v>136787</v>
      </c>
      <c r="G115" s="14" t="n">
        <v>5924</v>
      </c>
      <c r="H115" s="19" t="n">
        <v>4.5</v>
      </c>
    </row>
    <row r="116" customFormat="false" ht="15" hidden="false" customHeight="false" outlineLevel="0" collapsed="false">
      <c r="A116" s="0" t="s">
        <v>23</v>
      </c>
      <c r="B116" s="0" t="n">
        <v>8</v>
      </c>
      <c r="C116" s="0" t="s">
        <v>37</v>
      </c>
      <c r="D116" s="0" t="s">
        <v>46</v>
      </c>
      <c r="E116" s="14" t="n">
        <v>84126</v>
      </c>
      <c r="F116" s="14" t="n">
        <v>75824</v>
      </c>
      <c r="G116" s="14" t="n">
        <v>-8302</v>
      </c>
      <c r="H116" s="19" t="n">
        <v>-9.9</v>
      </c>
    </row>
    <row r="117" customFormat="false" ht="15" hidden="false" customHeight="false" outlineLevel="0" collapsed="false">
      <c r="A117" s="0" t="s">
        <v>23</v>
      </c>
      <c r="B117" s="0" t="n">
        <v>8</v>
      </c>
      <c r="C117" s="0" t="s">
        <v>37</v>
      </c>
      <c r="D117" s="0" t="s">
        <v>47</v>
      </c>
      <c r="E117" s="14" t="n">
        <v>56084</v>
      </c>
      <c r="F117" s="14" t="n">
        <v>56905</v>
      </c>
      <c r="G117" s="14" t="n">
        <v>821</v>
      </c>
      <c r="H117" s="19" t="n">
        <v>1.5</v>
      </c>
    </row>
    <row r="118" customFormat="false" ht="15" hidden="false" customHeight="false" outlineLevel="0" collapsed="false">
      <c r="A118" s="0" t="s">
        <v>23</v>
      </c>
      <c r="B118" s="0" t="n">
        <v>8</v>
      </c>
      <c r="C118" s="0" t="s">
        <v>38</v>
      </c>
      <c r="D118" s="0" t="s">
        <v>44</v>
      </c>
      <c r="E118" s="14" t="n">
        <v>139042</v>
      </c>
      <c r="F118" s="14" t="n">
        <v>139289</v>
      </c>
      <c r="G118" s="14" t="n">
        <v>247</v>
      </c>
      <c r="H118" s="19" t="n">
        <v>0.2</v>
      </c>
    </row>
    <row r="119" customFormat="false" ht="15" hidden="false" customHeight="false" outlineLevel="0" collapsed="false">
      <c r="A119" s="0" t="s">
        <v>23</v>
      </c>
      <c r="B119" s="0" t="n">
        <v>8</v>
      </c>
      <c r="C119" s="0" t="s">
        <v>38</v>
      </c>
      <c r="D119" s="0" t="s">
        <v>45</v>
      </c>
      <c r="E119" s="14" t="n">
        <v>92695</v>
      </c>
      <c r="F119" s="14" t="n">
        <v>89513</v>
      </c>
      <c r="G119" s="14" t="n">
        <v>-3182</v>
      </c>
      <c r="H119" s="19" t="n">
        <v>-3.4</v>
      </c>
    </row>
    <row r="120" customFormat="false" ht="15" hidden="false" customHeight="false" outlineLevel="0" collapsed="false">
      <c r="A120" s="0" t="s">
        <v>23</v>
      </c>
      <c r="B120" s="0" t="n">
        <v>8</v>
      </c>
      <c r="C120" s="0" t="s">
        <v>38</v>
      </c>
      <c r="D120" s="0" t="s">
        <v>46</v>
      </c>
      <c r="E120" s="14" t="n">
        <v>59589</v>
      </c>
      <c r="F120" s="14" t="n">
        <v>56500</v>
      </c>
      <c r="G120" s="14" t="n">
        <v>-3089</v>
      </c>
      <c r="H120" s="19" t="n">
        <v>-5.2</v>
      </c>
    </row>
    <row r="121" customFormat="false" ht="15" hidden="false" customHeight="false" outlineLevel="0" collapsed="false">
      <c r="A121" s="0" t="s">
        <v>23</v>
      </c>
      <c r="B121" s="0" t="n">
        <v>8</v>
      </c>
      <c r="C121" s="0" t="s">
        <v>38</v>
      </c>
      <c r="D121" s="0" t="s">
        <v>47</v>
      </c>
      <c r="E121" s="14" t="n">
        <v>39726</v>
      </c>
      <c r="F121" s="14" t="n">
        <v>45280</v>
      </c>
      <c r="G121" s="14" t="n">
        <v>5554</v>
      </c>
      <c r="H121" s="19" t="n">
        <v>14</v>
      </c>
    </row>
    <row r="122" customFormat="false" ht="15" hidden="false" customHeight="false" outlineLevel="0" collapsed="false">
      <c r="A122" s="0" t="s">
        <v>23</v>
      </c>
      <c r="B122" s="0" t="n">
        <v>8</v>
      </c>
      <c r="C122" s="0" t="s">
        <v>39</v>
      </c>
      <c r="D122" s="0" t="s">
        <v>44</v>
      </c>
      <c r="E122" s="14" t="n">
        <v>120639</v>
      </c>
      <c r="F122" s="14" t="n">
        <v>116872</v>
      </c>
      <c r="G122" s="14" t="n">
        <v>-3767</v>
      </c>
      <c r="H122" s="19" t="n">
        <v>-3.1</v>
      </c>
    </row>
    <row r="123" customFormat="false" ht="15" hidden="false" customHeight="false" outlineLevel="0" collapsed="false">
      <c r="A123" s="0" t="s">
        <v>23</v>
      </c>
      <c r="B123" s="0" t="n">
        <v>8</v>
      </c>
      <c r="C123" s="0" t="s">
        <v>39</v>
      </c>
      <c r="D123" s="0" t="s">
        <v>45</v>
      </c>
      <c r="E123" s="14" t="n">
        <v>80426</v>
      </c>
      <c r="F123" s="14" t="n">
        <v>74983</v>
      </c>
      <c r="G123" s="14" t="n">
        <v>-5443</v>
      </c>
      <c r="H123" s="19" t="n">
        <v>-6.8</v>
      </c>
    </row>
    <row r="124" customFormat="false" ht="15" hidden="false" customHeight="false" outlineLevel="0" collapsed="false">
      <c r="A124" s="0" t="s">
        <v>23</v>
      </c>
      <c r="B124" s="0" t="n">
        <v>8</v>
      </c>
      <c r="C124" s="0" t="s">
        <v>39</v>
      </c>
      <c r="D124" s="0" t="s">
        <v>46</v>
      </c>
      <c r="E124" s="14" t="n">
        <v>51703</v>
      </c>
      <c r="F124" s="14" t="n">
        <v>54338</v>
      </c>
      <c r="G124" s="14" t="n">
        <v>2635</v>
      </c>
      <c r="H124" s="19" t="n">
        <v>5.1</v>
      </c>
    </row>
    <row r="125" customFormat="false" ht="15" hidden="false" customHeight="false" outlineLevel="0" collapsed="false">
      <c r="A125" s="0" t="s">
        <v>23</v>
      </c>
      <c r="B125" s="0" t="n">
        <v>8</v>
      </c>
      <c r="C125" s="0" t="s">
        <v>39</v>
      </c>
      <c r="D125" s="0" t="s">
        <v>47</v>
      </c>
      <c r="E125" s="14" t="n">
        <v>34468</v>
      </c>
      <c r="F125" s="14" t="n">
        <v>34829</v>
      </c>
      <c r="G125" s="14" t="n">
        <v>361</v>
      </c>
      <c r="H125" s="19" t="n">
        <v>1</v>
      </c>
    </row>
    <row r="126" customFormat="false" ht="15" hidden="false" customHeight="false" outlineLevel="0" collapsed="false">
      <c r="A126" s="0" t="s">
        <v>23</v>
      </c>
      <c r="B126" s="0" t="n">
        <v>8</v>
      </c>
      <c r="C126" s="0" t="s">
        <v>40</v>
      </c>
      <c r="D126" s="0" t="s">
        <v>44</v>
      </c>
      <c r="E126" s="14" t="n">
        <v>85879</v>
      </c>
      <c r="F126" s="14" t="n">
        <v>85358</v>
      </c>
      <c r="G126" s="14" t="n">
        <v>-521</v>
      </c>
      <c r="H126" s="19" t="n">
        <v>-0.6</v>
      </c>
    </row>
    <row r="127" customFormat="false" ht="15" hidden="false" customHeight="false" outlineLevel="0" collapsed="false">
      <c r="A127" s="0" t="s">
        <v>23</v>
      </c>
      <c r="B127" s="0" t="n">
        <v>8</v>
      </c>
      <c r="C127" s="0" t="s">
        <v>40</v>
      </c>
      <c r="D127" s="0" t="s">
        <v>45</v>
      </c>
      <c r="E127" s="14" t="n">
        <v>57252</v>
      </c>
      <c r="F127" s="14" t="n">
        <v>60831</v>
      </c>
      <c r="G127" s="14" t="n">
        <v>3579</v>
      </c>
      <c r="H127" s="19" t="n">
        <v>6.3</v>
      </c>
    </row>
    <row r="128" customFormat="false" ht="15" hidden="false" customHeight="false" outlineLevel="0" collapsed="false">
      <c r="A128" s="0" t="s">
        <v>23</v>
      </c>
      <c r="B128" s="0" t="n">
        <v>8</v>
      </c>
      <c r="C128" s="0" t="s">
        <v>40</v>
      </c>
      <c r="D128" s="0" t="s">
        <v>46</v>
      </c>
      <c r="E128" s="14" t="n">
        <v>36805</v>
      </c>
      <c r="F128" s="14" t="n">
        <v>38244</v>
      </c>
      <c r="G128" s="14" t="n">
        <v>1439</v>
      </c>
      <c r="H128" s="19" t="n">
        <v>3.9</v>
      </c>
    </row>
    <row r="129" customFormat="false" ht="15" hidden="false" customHeight="false" outlineLevel="0" collapsed="false">
      <c r="A129" s="0" t="s">
        <v>23</v>
      </c>
      <c r="B129" s="0" t="n">
        <v>8</v>
      </c>
      <c r="C129" s="0" t="s">
        <v>40</v>
      </c>
      <c r="D129" s="0" t="s">
        <v>47</v>
      </c>
      <c r="E129" s="14" t="n">
        <v>24537</v>
      </c>
      <c r="F129" s="14" t="n">
        <v>25248</v>
      </c>
      <c r="G129" s="14" t="n">
        <v>711</v>
      </c>
      <c r="H129" s="19" t="n">
        <v>2.9</v>
      </c>
    </row>
    <row r="130" customFormat="false" ht="15" hidden="false" customHeight="false" outlineLevel="0" collapsed="false">
      <c r="A130" s="0" t="s">
        <v>24</v>
      </c>
      <c r="B130" s="0" t="n">
        <v>9</v>
      </c>
      <c r="C130" s="0" t="s">
        <v>37</v>
      </c>
      <c r="D130" s="0" t="s">
        <v>44</v>
      </c>
      <c r="E130" s="14" t="n">
        <v>193876</v>
      </c>
      <c r="F130" s="14" t="n">
        <v>208831</v>
      </c>
      <c r="G130" s="14" t="n">
        <v>14955</v>
      </c>
      <c r="H130" s="19" t="n">
        <v>7.7</v>
      </c>
    </row>
    <row r="131" customFormat="false" ht="15" hidden="false" customHeight="false" outlineLevel="0" collapsed="false">
      <c r="A131" s="0" t="s">
        <v>24</v>
      </c>
      <c r="B131" s="0" t="n">
        <v>9</v>
      </c>
      <c r="C131" s="0" t="s">
        <v>37</v>
      </c>
      <c r="D131" s="0" t="s">
        <v>45</v>
      </c>
      <c r="E131" s="14" t="n">
        <v>129250</v>
      </c>
      <c r="F131" s="14" t="n">
        <v>132183</v>
      </c>
      <c r="G131" s="14" t="n">
        <v>2933</v>
      </c>
      <c r="H131" s="19" t="n">
        <v>2.3</v>
      </c>
    </row>
    <row r="132" customFormat="false" ht="15" hidden="false" customHeight="false" outlineLevel="0" collapsed="false">
      <c r="A132" s="0" t="s">
        <v>24</v>
      </c>
      <c r="B132" s="0" t="n">
        <v>9</v>
      </c>
      <c r="C132" s="0" t="s">
        <v>37</v>
      </c>
      <c r="D132" s="0" t="s">
        <v>46</v>
      </c>
      <c r="E132" s="14" t="n">
        <v>83090</v>
      </c>
      <c r="F132" s="14" t="n">
        <v>78989</v>
      </c>
      <c r="G132" s="14" t="n">
        <v>-4101</v>
      </c>
      <c r="H132" s="19" t="n">
        <v>-4.9</v>
      </c>
    </row>
    <row r="133" customFormat="false" ht="15" hidden="false" customHeight="false" outlineLevel="0" collapsed="false">
      <c r="A133" s="0" t="s">
        <v>24</v>
      </c>
      <c r="B133" s="0" t="n">
        <v>9</v>
      </c>
      <c r="C133" s="0" t="s">
        <v>37</v>
      </c>
      <c r="D133" s="0" t="s">
        <v>47</v>
      </c>
      <c r="E133" s="14" t="n">
        <v>55393</v>
      </c>
      <c r="F133" s="14" t="n">
        <v>53788</v>
      </c>
      <c r="G133" s="14" t="n">
        <v>-1605</v>
      </c>
      <c r="H133" s="19" t="n">
        <v>-2.9</v>
      </c>
    </row>
    <row r="134" customFormat="false" ht="15" hidden="false" customHeight="false" outlineLevel="0" collapsed="false">
      <c r="A134" s="0" t="s">
        <v>24</v>
      </c>
      <c r="B134" s="0" t="n">
        <v>9</v>
      </c>
      <c r="C134" s="0" t="s">
        <v>38</v>
      </c>
      <c r="D134" s="0" t="s">
        <v>44</v>
      </c>
      <c r="E134" s="14" t="n">
        <v>137329</v>
      </c>
      <c r="F134" s="14" t="n">
        <v>131605</v>
      </c>
      <c r="G134" s="14" t="n">
        <v>-5724</v>
      </c>
      <c r="H134" s="19" t="n">
        <v>-4.2</v>
      </c>
    </row>
    <row r="135" customFormat="false" ht="15" hidden="false" customHeight="false" outlineLevel="0" collapsed="false">
      <c r="A135" s="0" t="s">
        <v>24</v>
      </c>
      <c r="B135" s="0" t="n">
        <v>9</v>
      </c>
      <c r="C135" s="0" t="s">
        <v>38</v>
      </c>
      <c r="D135" s="0" t="s">
        <v>45</v>
      </c>
      <c r="E135" s="14" t="n">
        <v>91552</v>
      </c>
      <c r="F135" s="14" t="n">
        <v>93088</v>
      </c>
      <c r="G135" s="14" t="n">
        <v>1536</v>
      </c>
      <c r="H135" s="19" t="n">
        <v>1.7</v>
      </c>
    </row>
    <row r="136" customFormat="false" ht="15" hidden="false" customHeight="false" outlineLevel="0" collapsed="false">
      <c r="A136" s="0" t="s">
        <v>24</v>
      </c>
      <c r="B136" s="0" t="n">
        <v>9</v>
      </c>
      <c r="C136" s="0" t="s">
        <v>38</v>
      </c>
      <c r="D136" s="0" t="s">
        <v>46</v>
      </c>
      <c r="E136" s="14" t="n">
        <v>58855</v>
      </c>
      <c r="F136" s="14" t="n">
        <v>53780</v>
      </c>
      <c r="G136" s="14" t="n">
        <v>-5075</v>
      </c>
      <c r="H136" s="19" t="n">
        <v>-8.6</v>
      </c>
    </row>
    <row r="137" customFormat="false" ht="15" hidden="false" customHeight="false" outlineLevel="0" collapsed="false">
      <c r="A137" s="0" t="s">
        <v>24</v>
      </c>
      <c r="B137" s="0" t="n">
        <v>9</v>
      </c>
      <c r="C137" s="0" t="s">
        <v>38</v>
      </c>
      <c r="D137" s="0" t="s">
        <v>47</v>
      </c>
      <c r="E137" s="14" t="n">
        <v>39237</v>
      </c>
      <c r="F137" s="14" t="n">
        <v>33485</v>
      </c>
      <c r="G137" s="14" t="n">
        <v>-5752</v>
      </c>
      <c r="H137" s="19" t="n">
        <v>-14.7</v>
      </c>
    </row>
    <row r="138" customFormat="false" ht="15" hidden="false" customHeight="false" outlineLevel="0" collapsed="false">
      <c r="A138" s="0" t="s">
        <v>24</v>
      </c>
      <c r="B138" s="0" t="n">
        <v>9</v>
      </c>
      <c r="C138" s="0" t="s">
        <v>39</v>
      </c>
      <c r="D138" s="0" t="s">
        <v>44</v>
      </c>
      <c r="E138" s="14" t="n">
        <v>119153</v>
      </c>
      <c r="F138" s="14" t="n">
        <v>119993</v>
      </c>
      <c r="G138" s="14" t="n">
        <v>840</v>
      </c>
      <c r="H138" s="19" t="n">
        <v>0.7</v>
      </c>
    </row>
    <row r="139" customFormat="false" ht="15" hidden="false" customHeight="false" outlineLevel="0" collapsed="false">
      <c r="A139" s="0" t="s">
        <v>24</v>
      </c>
      <c r="B139" s="0" t="n">
        <v>9</v>
      </c>
      <c r="C139" s="0" t="s">
        <v>39</v>
      </c>
      <c r="D139" s="0" t="s">
        <v>45</v>
      </c>
      <c r="E139" s="14" t="n">
        <v>79435</v>
      </c>
      <c r="F139" s="14" t="n">
        <v>70942</v>
      </c>
      <c r="G139" s="14" t="n">
        <v>-8493</v>
      </c>
      <c r="H139" s="19" t="n">
        <v>-10.7</v>
      </c>
    </row>
    <row r="140" customFormat="false" ht="15" hidden="false" customHeight="false" outlineLevel="0" collapsed="false">
      <c r="A140" s="0" t="s">
        <v>24</v>
      </c>
      <c r="B140" s="0" t="n">
        <v>9</v>
      </c>
      <c r="C140" s="0" t="s">
        <v>39</v>
      </c>
      <c r="D140" s="0" t="s">
        <v>46</v>
      </c>
      <c r="E140" s="14" t="n">
        <v>51065</v>
      </c>
      <c r="F140" s="14" t="n">
        <v>43091</v>
      </c>
      <c r="G140" s="14" t="n">
        <v>-7974</v>
      </c>
      <c r="H140" s="19" t="n">
        <v>-15.6</v>
      </c>
    </row>
    <row r="141" customFormat="false" ht="15" hidden="false" customHeight="false" outlineLevel="0" collapsed="false">
      <c r="A141" s="0" t="s">
        <v>24</v>
      </c>
      <c r="B141" s="0" t="n">
        <v>9</v>
      </c>
      <c r="C141" s="0" t="s">
        <v>39</v>
      </c>
      <c r="D141" s="0" t="s">
        <v>47</v>
      </c>
      <c r="E141" s="14" t="n">
        <v>34044</v>
      </c>
      <c r="F141" s="14" t="n">
        <v>35060</v>
      </c>
      <c r="G141" s="14" t="n">
        <v>1016</v>
      </c>
      <c r="H141" s="19" t="n">
        <v>3</v>
      </c>
    </row>
    <row r="142" customFormat="false" ht="15" hidden="false" customHeight="false" outlineLevel="0" collapsed="false">
      <c r="A142" s="0" t="s">
        <v>24</v>
      </c>
      <c r="B142" s="0" t="n">
        <v>9</v>
      </c>
      <c r="C142" s="0" t="s">
        <v>40</v>
      </c>
      <c r="D142" s="0" t="s">
        <v>44</v>
      </c>
      <c r="E142" s="14" t="n">
        <v>84821</v>
      </c>
      <c r="F142" s="14" t="n">
        <v>79996</v>
      </c>
      <c r="G142" s="14" t="n">
        <v>-4825</v>
      </c>
      <c r="H142" s="19" t="n">
        <v>-5.7</v>
      </c>
    </row>
    <row r="143" customFormat="false" ht="15" hidden="false" customHeight="false" outlineLevel="0" collapsed="false">
      <c r="A143" s="0" t="s">
        <v>24</v>
      </c>
      <c r="B143" s="0" t="n">
        <v>9</v>
      </c>
      <c r="C143" s="0" t="s">
        <v>40</v>
      </c>
      <c r="D143" s="0" t="s">
        <v>45</v>
      </c>
      <c r="E143" s="14" t="n">
        <v>56547</v>
      </c>
      <c r="F143" s="14" t="n">
        <v>58791</v>
      </c>
      <c r="G143" s="14" t="n">
        <v>2244</v>
      </c>
      <c r="H143" s="19" t="n">
        <v>4</v>
      </c>
    </row>
    <row r="144" customFormat="false" ht="15" hidden="false" customHeight="false" outlineLevel="0" collapsed="false">
      <c r="A144" s="0" t="s">
        <v>24</v>
      </c>
      <c r="B144" s="0" t="n">
        <v>9</v>
      </c>
      <c r="C144" s="0" t="s">
        <v>40</v>
      </c>
      <c r="D144" s="0" t="s">
        <v>46</v>
      </c>
      <c r="E144" s="14" t="n">
        <v>36352</v>
      </c>
      <c r="F144" s="14" t="n">
        <v>34808</v>
      </c>
      <c r="G144" s="14" t="n">
        <v>-1544</v>
      </c>
      <c r="H144" s="19" t="n">
        <v>-4.2</v>
      </c>
    </row>
    <row r="145" customFormat="false" ht="15" hidden="false" customHeight="false" outlineLevel="0" collapsed="false">
      <c r="A145" s="0" t="s">
        <v>24</v>
      </c>
      <c r="B145" s="0" t="n">
        <v>9</v>
      </c>
      <c r="C145" s="0" t="s">
        <v>40</v>
      </c>
      <c r="D145" s="0" t="s">
        <v>47</v>
      </c>
      <c r="E145" s="14" t="n">
        <v>24234</v>
      </c>
      <c r="F145" s="14" t="n">
        <v>22059</v>
      </c>
      <c r="G145" s="14" t="n">
        <v>-2175</v>
      </c>
      <c r="H145" s="19" t="n">
        <v>-9</v>
      </c>
    </row>
    <row r="146" customFormat="false" ht="15" hidden="false" customHeight="false" outlineLevel="0" collapsed="false">
      <c r="A146" s="0" t="s">
        <v>25</v>
      </c>
      <c r="B146" s="0" t="n">
        <v>10</v>
      </c>
      <c r="C146" s="0" t="s">
        <v>37</v>
      </c>
      <c r="D146" s="0" t="s">
        <v>44</v>
      </c>
      <c r="E146" s="14" t="n">
        <v>196536</v>
      </c>
      <c r="F146" s="14" t="n">
        <v>176985</v>
      </c>
      <c r="G146" s="14" t="n">
        <v>-19551</v>
      </c>
      <c r="H146" s="19" t="n">
        <v>-9.9</v>
      </c>
    </row>
    <row r="147" customFormat="false" ht="15" hidden="false" customHeight="false" outlineLevel="0" collapsed="false">
      <c r="A147" s="0" t="s">
        <v>25</v>
      </c>
      <c r="B147" s="0" t="n">
        <v>10</v>
      </c>
      <c r="C147" s="0" t="s">
        <v>37</v>
      </c>
      <c r="D147" s="0" t="s">
        <v>45</v>
      </c>
      <c r="E147" s="14" t="n">
        <v>131024</v>
      </c>
      <c r="F147" s="14" t="n">
        <v>125627</v>
      </c>
      <c r="G147" s="14" t="n">
        <v>-5397</v>
      </c>
      <c r="H147" s="19" t="n">
        <v>-4.1</v>
      </c>
    </row>
    <row r="148" customFormat="false" ht="15" hidden="false" customHeight="false" outlineLevel="0" collapsed="false">
      <c r="A148" s="0" t="s">
        <v>25</v>
      </c>
      <c r="B148" s="0" t="n">
        <v>10</v>
      </c>
      <c r="C148" s="0" t="s">
        <v>37</v>
      </c>
      <c r="D148" s="0" t="s">
        <v>46</v>
      </c>
      <c r="E148" s="14" t="n">
        <v>84230</v>
      </c>
      <c r="F148" s="14" t="n">
        <v>82388</v>
      </c>
      <c r="G148" s="14" t="n">
        <v>-1842</v>
      </c>
      <c r="H148" s="19" t="n">
        <v>-2.2</v>
      </c>
    </row>
    <row r="149" customFormat="false" ht="15" hidden="false" customHeight="false" outlineLevel="0" collapsed="false">
      <c r="A149" s="0" t="s">
        <v>25</v>
      </c>
      <c r="B149" s="0" t="n">
        <v>10</v>
      </c>
      <c r="C149" s="0" t="s">
        <v>37</v>
      </c>
      <c r="D149" s="0" t="s">
        <v>47</v>
      </c>
      <c r="E149" s="14" t="n">
        <v>56153</v>
      </c>
      <c r="F149" s="14" t="n">
        <v>52454</v>
      </c>
      <c r="G149" s="14" t="n">
        <v>-3699</v>
      </c>
      <c r="H149" s="19" t="n">
        <v>-6.6</v>
      </c>
    </row>
    <row r="150" customFormat="false" ht="15" hidden="false" customHeight="false" outlineLevel="0" collapsed="false">
      <c r="A150" s="0" t="s">
        <v>25</v>
      </c>
      <c r="B150" s="0" t="n">
        <v>10</v>
      </c>
      <c r="C150" s="0" t="s">
        <v>38</v>
      </c>
      <c r="D150" s="0" t="s">
        <v>44</v>
      </c>
      <c r="E150" s="14" t="n">
        <v>139213</v>
      </c>
      <c r="F150" s="14" t="n">
        <v>136082</v>
      </c>
      <c r="G150" s="14" t="n">
        <v>-3131</v>
      </c>
      <c r="H150" s="19" t="n">
        <v>-2.2</v>
      </c>
    </row>
    <row r="151" customFormat="false" ht="15" hidden="false" customHeight="false" outlineLevel="0" collapsed="false">
      <c r="A151" s="0" t="s">
        <v>25</v>
      </c>
      <c r="B151" s="0" t="n">
        <v>10</v>
      </c>
      <c r="C151" s="0" t="s">
        <v>38</v>
      </c>
      <c r="D151" s="0" t="s">
        <v>45</v>
      </c>
      <c r="E151" s="14" t="n">
        <v>92809</v>
      </c>
      <c r="F151" s="14" t="n">
        <v>81404</v>
      </c>
      <c r="G151" s="14" t="n">
        <v>-11405</v>
      </c>
      <c r="H151" s="19" t="n">
        <v>-12.3</v>
      </c>
    </row>
    <row r="152" customFormat="false" ht="15" hidden="false" customHeight="false" outlineLevel="0" collapsed="false">
      <c r="A152" s="0" t="s">
        <v>25</v>
      </c>
      <c r="B152" s="0" t="n">
        <v>10</v>
      </c>
      <c r="C152" s="0" t="s">
        <v>38</v>
      </c>
      <c r="D152" s="0" t="s">
        <v>46</v>
      </c>
      <c r="E152" s="14" t="n">
        <v>59663</v>
      </c>
      <c r="F152" s="14" t="n">
        <v>59732</v>
      </c>
      <c r="G152" s="14" t="n">
        <v>69</v>
      </c>
      <c r="H152" s="19" t="n">
        <v>0.1</v>
      </c>
    </row>
    <row r="153" customFormat="false" ht="15" hidden="false" customHeight="false" outlineLevel="0" collapsed="false">
      <c r="A153" s="0" t="s">
        <v>25</v>
      </c>
      <c r="B153" s="0" t="n">
        <v>10</v>
      </c>
      <c r="C153" s="0" t="s">
        <v>38</v>
      </c>
      <c r="D153" s="0" t="s">
        <v>47</v>
      </c>
      <c r="E153" s="14" t="n">
        <v>39775</v>
      </c>
      <c r="F153" s="14" t="n">
        <v>34068</v>
      </c>
      <c r="G153" s="14" t="n">
        <v>-5707</v>
      </c>
      <c r="H153" s="19" t="n">
        <v>-14.3</v>
      </c>
    </row>
    <row r="154" customFormat="false" ht="15" hidden="false" customHeight="false" outlineLevel="0" collapsed="false">
      <c r="A154" s="0" t="s">
        <v>25</v>
      </c>
      <c r="B154" s="0" t="n">
        <v>10</v>
      </c>
      <c r="C154" s="0" t="s">
        <v>39</v>
      </c>
      <c r="D154" s="0" t="s">
        <v>44</v>
      </c>
      <c r="E154" s="14" t="n">
        <v>120788</v>
      </c>
      <c r="F154" s="14" t="n">
        <v>118915</v>
      </c>
      <c r="G154" s="14" t="n">
        <v>-1873</v>
      </c>
      <c r="H154" s="19" t="n">
        <v>-1.6</v>
      </c>
    </row>
    <row r="155" customFormat="false" ht="15" hidden="false" customHeight="false" outlineLevel="0" collapsed="false">
      <c r="A155" s="0" t="s">
        <v>25</v>
      </c>
      <c r="B155" s="0" t="n">
        <v>10</v>
      </c>
      <c r="C155" s="0" t="s">
        <v>39</v>
      </c>
      <c r="D155" s="0" t="s">
        <v>45</v>
      </c>
      <c r="E155" s="14" t="n">
        <v>80525</v>
      </c>
      <c r="F155" s="14" t="n">
        <v>85017</v>
      </c>
      <c r="G155" s="14" t="n">
        <v>4492</v>
      </c>
      <c r="H155" s="19" t="n">
        <v>5.6</v>
      </c>
    </row>
    <row r="156" customFormat="false" ht="15" hidden="false" customHeight="false" outlineLevel="0" collapsed="false">
      <c r="A156" s="0" t="s">
        <v>25</v>
      </c>
      <c r="B156" s="0" t="n">
        <v>10</v>
      </c>
      <c r="C156" s="0" t="s">
        <v>39</v>
      </c>
      <c r="D156" s="0" t="s">
        <v>46</v>
      </c>
      <c r="E156" s="14" t="n">
        <v>51766</v>
      </c>
      <c r="F156" s="14" t="n">
        <v>56288</v>
      </c>
      <c r="G156" s="14" t="n">
        <v>4522</v>
      </c>
      <c r="H156" s="19" t="n">
        <v>8.7</v>
      </c>
    </row>
    <row r="157" customFormat="false" ht="15" hidden="false" customHeight="false" outlineLevel="0" collapsed="false">
      <c r="A157" s="0" t="s">
        <v>25</v>
      </c>
      <c r="B157" s="0" t="n">
        <v>10</v>
      </c>
      <c r="C157" s="0" t="s">
        <v>39</v>
      </c>
      <c r="D157" s="0" t="s">
        <v>47</v>
      </c>
      <c r="E157" s="14" t="n">
        <v>34511</v>
      </c>
      <c r="F157" s="14" t="n">
        <v>39244</v>
      </c>
      <c r="G157" s="14" t="n">
        <v>4733</v>
      </c>
      <c r="H157" s="19" t="n">
        <v>13.7</v>
      </c>
    </row>
    <row r="158" customFormat="false" ht="15" hidden="false" customHeight="false" outlineLevel="0" collapsed="false">
      <c r="A158" s="0" t="s">
        <v>25</v>
      </c>
      <c r="B158" s="0" t="n">
        <v>10</v>
      </c>
      <c r="C158" s="0" t="s">
        <v>40</v>
      </c>
      <c r="D158" s="0" t="s">
        <v>44</v>
      </c>
      <c r="E158" s="14" t="n">
        <v>85985</v>
      </c>
      <c r="F158" s="14" t="n">
        <v>75279</v>
      </c>
      <c r="G158" s="14" t="n">
        <v>-10706</v>
      </c>
      <c r="H158" s="19" t="n">
        <v>-12.5</v>
      </c>
    </row>
    <row r="159" customFormat="false" ht="15" hidden="false" customHeight="false" outlineLevel="0" collapsed="false">
      <c r="A159" s="0" t="s">
        <v>25</v>
      </c>
      <c r="B159" s="0" t="n">
        <v>10</v>
      </c>
      <c r="C159" s="0" t="s">
        <v>40</v>
      </c>
      <c r="D159" s="0" t="s">
        <v>45</v>
      </c>
      <c r="E159" s="14" t="n">
        <v>57323</v>
      </c>
      <c r="F159" s="14" t="n">
        <v>60802</v>
      </c>
      <c r="G159" s="14" t="n">
        <v>3479</v>
      </c>
      <c r="H159" s="19" t="n">
        <v>6.1</v>
      </c>
    </row>
    <row r="160" customFormat="false" ht="15" hidden="false" customHeight="false" outlineLevel="0" collapsed="false">
      <c r="A160" s="0" t="s">
        <v>25</v>
      </c>
      <c r="B160" s="0" t="n">
        <v>10</v>
      </c>
      <c r="C160" s="0" t="s">
        <v>40</v>
      </c>
      <c r="D160" s="0" t="s">
        <v>46</v>
      </c>
      <c r="E160" s="14" t="n">
        <v>36851</v>
      </c>
      <c r="F160" s="14" t="n">
        <v>40407</v>
      </c>
      <c r="G160" s="14" t="n">
        <v>3556</v>
      </c>
      <c r="H160" s="19" t="n">
        <v>9.6</v>
      </c>
    </row>
    <row r="161" customFormat="false" ht="15" hidden="false" customHeight="false" outlineLevel="0" collapsed="false">
      <c r="A161" s="0" t="s">
        <v>25</v>
      </c>
      <c r="B161" s="0" t="n">
        <v>10</v>
      </c>
      <c r="C161" s="0" t="s">
        <v>40</v>
      </c>
      <c r="D161" s="0" t="s">
        <v>47</v>
      </c>
      <c r="E161" s="14" t="n">
        <v>24567</v>
      </c>
      <c r="F161" s="14" t="n">
        <v>26494</v>
      </c>
      <c r="G161" s="14" t="n">
        <v>1927</v>
      </c>
      <c r="H161" s="19" t="n">
        <v>7.8</v>
      </c>
    </row>
    <row r="162" customFormat="false" ht="15" hidden="false" customHeight="false" outlineLevel="0" collapsed="false">
      <c r="A162" s="0" t="s">
        <v>26</v>
      </c>
      <c r="B162" s="0" t="n">
        <v>11</v>
      </c>
      <c r="C162" s="0" t="s">
        <v>37</v>
      </c>
      <c r="D162" s="0" t="s">
        <v>44</v>
      </c>
      <c r="E162" s="14" t="n">
        <v>204006</v>
      </c>
      <c r="F162" s="14" t="n">
        <v>188839</v>
      </c>
      <c r="G162" s="14" t="n">
        <v>-15167</v>
      </c>
      <c r="H162" s="19" t="n">
        <v>-7.4</v>
      </c>
    </row>
    <row r="163" customFormat="false" ht="15" hidden="false" customHeight="false" outlineLevel="0" collapsed="false">
      <c r="A163" s="0" t="s">
        <v>26</v>
      </c>
      <c r="B163" s="0" t="n">
        <v>11</v>
      </c>
      <c r="C163" s="0" t="s">
        <v>37</v>
      </c>
      <c r="D163" s="0" t="s">
        <v>45</v>
      </c>
      <c r="E163" s="14" t="n">
        <v>136004</v>
      </c>
      <c r="F163" s="14" t="n">
        <v>140485</v>
      </c>
      <c r="G163" s="14" t="n">
        <v>4481</v>
      </c>
      <c r="H163" s="19" t="n">
        <v>3.3</v>
      </c>
    </row>
    <row r="164" customFormat="false" ht="15" hidden="false" customHeight="false" outlineLevel="0" collapsed="false">
      <c r="A164" s="0" t="s">
        <v>26</v>
      </c>
      <c r="B164" s="0" t="n">
        <v>11</v>
      </c>
      <c r="C164" s="0" t="s">
        <v>37</v>
      </c>
      <c r="D164" s="0" t="s">
        <v>46</v>
      </c>
      <c r="E164" s="14" t="n">
        <v>87431</v>
      </c>
      <c r="F164" s="14" t="n">
        <v>100441</v>
      </c>
      <c r="G164" s="14" t="n">
        <v>13010</v>
      </c>
      <c r="H164" s="19" t="n">
        <v>14.9</v>
      </c>
    </row>
    <row r="165" customFormat="false" ht="15" hidden="false" customHeight="false" outlineLevel="0" collapsed="false">
      <c r="A165" s="0" t="s">
        <v>26</v>
      </c>
      <c r="B165" s="0" t="n">
        <v>11</v>
      </c>
      <c r="C165" s="0" t="s">
        <v>37</v>
      </c>
      <c r="D165" s="0" t="s">
        <v>47</v>
      </c>
      <c r="E165" s="14" t="n">
        <v>58287</v>
      </c>
      <c r="F165" s="14" t="n">
        <v>51306</v>
      </c>
      <c r="G165" s="14" t="n">
        <v>-6981</v>
      </c>
      <c r="H165" s="19" t="n">
        <v>-12</v>
      </c>
    </row>
    <row r="166" customFormat="false" ht="15" hidden="false" customHeight="false" outlineLevel="0" collapsed="false">
      <c r="A166" s="0" t="s">
        <v>26</v>
      </c>
      <c r="B166" s="0" t="n">
        <v>11</v>
      </c>
      <c r="C166" s="0" t="s">
        <v>38</v>
      </c>
      <c r="D166" s="0" t="s">
        <v>44</v>
      </c>
      <c r="E166" s="14" t="n">
        <v>144504</v>
      </c>
      <c r="F166" s="14" t="n">
        <v>150011</v>
      </c>
      <c r="G166" s="14" t="n">
        <v>5507</v>
      </c>
      <c r="H166" s="19" t="n">
        <v>3.8</v>
      </c>
    </row>
    <row r="167" customFormat="false" ht="15" hidden="false" customHeight="false" outlineLevel="0" collapsed="false">
      <c r="A167" s="0" t="s">
        <v>26</v>
      </c>
      <c r="B167" s="0" t="n">
        <v>11</v>
      </c>
      <c r="C167" s="0" t="s">
        <v>38</v>
      </c>
      <c r="D167" s="0" t="s">
        <v>45</v>
      </c>
      <c r="E167" s="14" t="n">
        <v>96336</v>
      </c>
      <c r="F167" s="14" t="n">
        <v>104909</v>
      </c>
      <c r="G167" s="14" t="n">
        <v>8573</v>
      </c>
      <c r="H167" s="19" t="n">
        <v>8.9</v>
      </c>
    </row>
    <row r="168" customFormat="false" ht="15" hidden="false" customHeight="false" outlineLevel="0" collapsed="false">
      <c r="A168" s="0" t="s">
        <v>26</v>
      </c>
      <c r="B168" s="0" t="n">
        <v>11</v>
      </c>
      <c r="C168" s="0" t="s">
        <v>38</v>
      </c>
      <c r="D168" s="0" t="s">
        <v>46</v>
      </c>
      <c r="E168" s="14" t="n">
        <v>61930</v>
      </c>
      <c r="F168" s="14" t="n">
        <v>58479</v>
      </c>
      <c r="G168" s="14" t="n">
        <v>-3451</v>
      </c>
      <c r="H168" s="19" t="n">
        <v>-5.6</v>
      </c>
    </row>
    <row r="169" customFormat="false" ht="15" hidden="false" customHeight="false" outlineLevel="0" collapsed="false">
      <c r="A169" s="0" t="s">
        <v>26</v>
      </c>
      <c r="B169" s="0" t="n">
        <v>11</v>
      </c>
      <c r="C169" s="0" t="s">
        <v>38</v>
      </c>
      <c r="D169" s="0" t="s">
        <v>47</v>
      </c>
      <c r="E169" s="14" t="n">
        <v>41287</v>
      </c>
      <c r="F169" s="14" t="n">
        <v>43212</v>
      </c>
      <c r="G169" s="14" t="n">
        <v>1925</v>
      </c>
      <c r="H169" s="19" t="n">
        <v>4.7</v>
      </c>
    </row>
    <row r="170" customFormat="false" ht="15" hidden="false" customHeight="false" outlineLevel="0" collapsed="false">
      <c r="A170" s="0" t="s">
        <v>26</v>
      </c>
      <c r="B170" s="0" t="n">
        <v>11</v>
      </c>
      <c r="C170" s="0" t="s">
        <v>39</v>
      </c>
      <c r="D170" s="0" t="s">
        <v>44</v>
      </c>
      <c r="E170" s="14" t="n">
        <v>125379</v>
      </c>
      <c r="F170" s="14" t="n">
        <v>114637</v>
      </c>
      <c r="G170" s="14" t="n">
        <v>-10742</v>
      </c>
      <c r="H170" s="19" t="n">
        <v>-8.6</v>
      </c>
    </row>
    <row r="171" customFormat="false" ht="15" hidden="false" customHeight="false" outlineLevel="0" collapsed="false">
      <c r="A171" s="0" t="s">
        <v>26</v>
      </c>
      <c r="B171" s="0" t="n">
        <v>11</v>
      </c>
      <c r="C171" s="0" t="s">
        <v>39</v>
      </c>
      <c r="D171" s="0" t="s">
        <v>45</v>
      </c>
      <c r="E171" s="14" t="n">
        <v>83586</v>
      </c>
      <c r="F171" s="14" t="n">
        <v>78155</v>
      </c>
      <c r="G171" s="14" t="n">
        <v>-5431</v>
      </c>
      <c r="H171" s="19" t="n">
        <v>-6.5</v>
      </c>
    </row>
    <row r="172" customFormat="false" ht="15" hidden="false" customHeight="false" outlineLevel="0" collapsed="false">
      <c r="A172" s="0" t="s">
        <v>26</v>
      </c>
      <c r="B172" s="0" t="n">
        <v>11</v>
      </c>
      <c r="C172" s="0" t="s">
        <v>39</v>
      </c>
      <c r="D172" s="0" t="s">
        <v>46</v>
      </c>
      <c r="E172" s="14" t="n">
        <v>53734</v>
      </c>
      <c r="F172" s="14" t="n">
        <v>50221</v>
      </c>
      <c r="G172" s="14" t="n">
        <v>-3513</v>
      </c>
      <c r="H172" s="19" t="n">
        <v>-6.5</v>
      </c>
    </row>
    <row r="173" customFormat="false" ht="15" hidden="false" customHeight="false" outlineLevel="0" collapsed="false">
      <c r="A173" s="0" t="s">
        <v>26</v>
      </c>
      <c r="B173" s="0" t="n">
        <v>11</v>
      </c>
      <c r="C173" s="0" t="s">
        <v>39</v>
      </c>
      <c r="D173" s="0" t="s">
        <v>47</v>
      </c>
      <c r="E173" s="14" t="n">
        <v>35823</v>
      </c>
      <c r="F173" s="14" t="n">
        <v>36374</v>
      </c>
      <c r="G173" s="14" t="n">
        <v>551</v>
      </c>
      <c r="H173" s="19" t="n">
        <v>1.5</v>
      </c>
    </row>
    <row r="174" customFormat="false" ht="15" hidden="false" customHeight="false" outlineLevel="0" collapsed="false">
      <c r="A174" s="0" t="s">
        <v>26</v>
      </c>
      <c r="B174" s="0" t="n">
        <v>11</v>
      </c>
      <c r="C174" s="0" t="s">
        <v>40</v>
      </c>
      <c r="D174" s="0" t="s">
        <v>44</v>
      </c>
      <c r="E174" s="14" t="n">
        <v>89253</v>
      </c>
      <c r="F174" s="14" t="n">
        <v>88603</v>
      </c>
      <c r="G174" s="14" t="n">
        <v>-650</v>
      </c>
      <c r="H174" s="19" t="n">
        <v>-0.7</v>
      </c>
    </row>
    <row r="175" customFormat="false" ht="15" hidden="false" customHeight="false" outlineLevel="0" collapsed="false">
      <c r="A175" s="0" t="s">
        <v>26</v>
      </c>
      <c r="B175" s="0" t="n">
        <v>11</v>
      </c>
      <c r="C175" s="0" t="s">
        <v>40</v>
      </c>
      <c r="D175" s="0" t="s">
        <v>45</v>
      </c>
      <c r="E175" s="14" t="n">
        <v>59502</v>
      </c>
      <c r="F175" s="14" t="n">
        <v>64044</v>
      </c>
      <c r="G175" s="14" t="n">
        <v>4542</v>
      </c>
      <c r="H175" s="19" t="n">
        <v>7.6</v>
      </c>
    </row>
    <row r="176" customFormat="false" ht="15" hidden="false" customHeight="false" outlineLevel="0" collapsed="false">
      <c r="A176" s="0" t="s">
        <v>26</v>
      </c>
      <c r="B176" s="0" t="n">
        <v>11</v>
      </c>
      <c r="C176" s="0" t="s">
        <v>40</v>
      </c>
      <c r="D176" s="0" t="s">
        <v>46</v>
      </c>
      <c r="E176" s="14" t="n">
        <v>38251</v>
      </c>
      <c r="F176" s="14" t="n">
        <v>35374</v>
      </c>
      <c r="G176" s="14" t="n">
        <v>-2877</v>
      </c>
      <c r="H176" s="19" t="n">
        <v>-7.5</v>
      </c>
    </row>
    <row r="177" customFormat="false" ht="15" hidden="false" customHeight="false" outlineLevel="0" collapsed="false">
      <c r="A177" s="0" t="s">
        <v>26</v>
      </c>
      <c r="B177" s="0" t="n">
        <v>11</v>
      </c>
      <c r="C177" s="0" t="s">
        <v>40</v>
      </c>
      <c r="D177" s="0" t="s">
        <v>47</v>
      </c>
      <c r="E177" s="14" t="n">
        <v>25501</v>
      </c>
      <c r="F177" s="14" t="n">
        <v>25233</v>
      </c>
      <c r="G177" s="14" t="n">
        <v>-268</v>
      </c>
      <c r="H177" s="19" t="n">
        <v>-1.1</v>
      </c>
    </row>
    <row r="178" customFormat="false" ht="15" hidden="false" customHeight="false" outlineLevel="0" collapsed="false">
      <c r="A178" s="0" t="s">
        <v>27</v>
      </c>
      <c r="B178" s="0" t="n">
        <v>12</v>
      </c>
      <c r="C178" s="0" t="s">
        <v>37</v>
      </c>
      <c r="D178" s="0" t="s">
        <v>44</v>
      </c>
      <c r="E178" s="14" t="n">
        <v>214714</v>
      </c>
      <c r="F178" s="14" t="n">
        <v>231223</v>
      </c>
      <c r="G178" s="14" t="n">
        <v>16509</v>
      </c>
      <c r="H178" s="19" t="n">
        <v>7.7</v>
      </c>
    </row>
    <row r="179" customFormat="false" ht="15" hidden="false" customHeight="false" outlineLevel="0" collapsed="false">
      <c r="A179" s="0" t="s">
        <v>27</v>
      </c>
      <c r="B179" s="0" t="n">
        <v>12</v>
      </c>
      <c r="C179" s="0" t="s">
        <v>37</v>
      </c>
      <c r="D179" s="0" t="s">
        <v>45</v>
      </c>
      <c r="E179" s="14" t="n">
        <v>143143</v>
      </c>
      <c r="F179" s="14" t="n">
        <v>149564</v>
      </c>
      <c r="G179" s="14" t="n">
        <v>6421</v>
      </c>
      <c r="H179" s="19" t="n">
        <v>4.5</v>
      </c>
    </row>
    <row r="180" customFormat="false" ht="15" hidden="false" customHeight="false" outlineLevel="0" collapsed="false">
      <c r="A180" s="0" t="s">
        <v>27</v>
      </c>
      <c r="B180" s="0" t="n">
        <v>12</v>
      </c>
      <c r="C180" s="0" t="s">
        <v>37</v>
      </c>
      <c r="D180" s="0" t="s">
        <v>46</v>
      </c>
      <c r="E180" s="14" t="n">
        <v>92020</v>
      </c>
      <c r="F180" s="14" t="n">
        <v>82269</v>
      </c>
      <c r="G180" s="14" t="n">
        <v>-9751</v>
      </c>
      <c r="H180" s="19" t="n">
        <v>-10.6</v>
      </c>
    </row>
    <row r="181" customFormat="false" ht="15" hidden="false" customHeight="false" outlineLevel="0" collapsed="false">
      <c r="A181" s="0" t="s">
        <v>27</v>
      </c>
      <c r="B181" s="0" t="n">
        <v>12</v>
      </c>
      <c r="C181" s="0" t="s">
        <v>37</v>
      </c>
      <c r="D181" s="0" t="s">
        <v>47</v>
      </c>
      <c r="E181" s="14" t="n">
        <v>61347</v>
      </c>
      <c r="F181" s="14" t="n">
        <v>64612</v>
      </c>
      <c r="G181" s="14" t="n">
        <v>3265</v>
      </c>
      <c r="H181" s="19" t="n">
        <v>5.3</v>
      </c>
    </row>
    <row r="182" customFormat="false" ht="15" hidden="false" customHeight="false" outlineLevel="0" collapsed="false">
      <c r="A182" s="0" t="s">
        <v>27</v>
      </c>
      <c r="B182" s="0" t="n">
        <v>12</v>
      </c>
      <c r="C182" s="0" t="s">
        <v>38</v>
      </c>
      <c r="D182" s="0" t="s">
        <v>44</v>
      </c>
      <c r="E182" s="14" t="n">
        <v>152089</v>
      </c>
      <c r="F182" s="14" t="n">
        <v>146268</v>
      </c>
      <c r="G182" s="14" t="n">
        <v>-5821</v>
      </c>
      <c r="H182" s="19" t="n">
        <v>-3.8</v>
      </c>
    </row>
    <row r="183" customFormat="false" ht="15" hidden="false" customHeight="false" outlineLevel="0" collapsed="false">
      <c r="A183" s="0" t="s">
        <v>27</v>
      </c>
      <c r="B183" s="0" t="n">
        <v>12</v>
      </c>
      <c r="C183" s="0" t="s">
        <v>38</v>
      </c>
      <c r="D183" s="0" t="s">
        <v>45</v>
      </c>
      <c r="E183" s="14" t="n">
        <v>101393</v>
      </c>
      <c r="F183" s="14" t="n">
        <v>104519</v>
      </c>
      <c r="G183" s="14" t="n">
        <v>3126</v>
      </c>
      <c r="H183" s="19" t="n">
        <v>3.1</v>
      </c>
    </row>
    <row r="184" customFormat="false" ht="15" hidden="false" customHeight="false" outlineLevel="0" collapsed="false">
      <c r="A184" s="0" t="s">
        <v>27</v>
      </c>
      <c r="B184" s="0" t="n">
        <v>12</v>
      </c>
      <c r="C184" s="0" t="s">
        <v>38</v>
      </c>
      <c r="D184" s="0" t="s">
        <v>46</v>
      </c>
      <c r="E184" s="14" t="n">
        <v>65181</v>
      </c>
      <c r="F184" s="14" t="n">
        <v>66749</v>
      </c>
      <c r="G184" s="14" t="n">
        <v>1568</v>
      </c>
      <c r="H184" s="19" t="n">
        <v>2.4</v>
      </c>
    </row>
    <row r="185" customFormat="false" ht="15" hidden="false" customHeight="false" outlineLevel="0" collapsed="false">
      <c r="A185" s="0" t="s">
        <v>27</v>
      </c>
      <c r="B185" s="0" t="n">
        <v>12</v>
      </c>
      <c r="C185" s="0" t="s">
        <v>38</v>
      </c>
      <c r="D185" s="0" t="s">
        <v>47</v>
      </c>
      <c r="E185" s="14" t="n">
        <v>43454</v>
      </c>
      <c r="F185" s="14" t="n">
        <v>47693</v>
      </c>
      <c r="G185" s="14" t="n">
        <v>4239</v>
      </c>
      <c r="H185" s="19" t="n">
        <v>9.8</v>
      </c>
    </row>
    <row r="186" customFormat="false" ht="15" hidden="false" customHeight="false" outlineLevel="0" collapsed="false">
      <c r="A186" s="0" t="s">
        <v>27</v>
      </c>
      <c r="B186" s="0" t="n">
        <v>12</v>
      </c>
      <c r="C186" s="0" t="s">
        <v>39</v>
      </c>
      <c r="D186" s="0" t="s">
        <v>44</v>
      </c>
      <c r="E186" s="14" t="n">
        <v>131960</v>
      </c>
      <c r="F186" s="14" t="n">
        <v>133190</v>
      </c>
      <c r="G186" s="14" t="n">
        <v>1230</v>
      </c>
      <c r="H186" s="19" t="n">
        <v>0.9</v>
      </c>
    </row>
    <row r="187" customFormat="false" ht="15" hidden="false" customHeight="false" outlineLevel="0" collapsed="false">
      <c r="A187" s="0" t="s">
        <v>27</v>
      </c>
      <c r="B187" s="0" t="n">
        <v>12</v>
      </c>
      <c r="C187" s="0" t="s">
        <v>39</v>
      </c>
      <c r="D187" s="0" t="s">
        <v>45</v>
      </c>
      <c r="E187" s="14" t="n">
        <v>87973</v>
      </c>
      <c r="F187" s="14" t="n">
        <v>74926</v>
      </c>
      <c r="G187" s="14" t="n">
        <v>-13047</v>
      </c>
      <c r="H187" s="19" t="n">
        <v>-14.8</v>
      </c>
    </row>
    <row r="188" customFormat="false" ht="15" hidden="false" customHeight="false" outlineLevel="0" collapsed="false">
      <c r="A188" s="0" t="s">
        <v>27</v>
      </c>
      <c r="B188" s="0" t="n">
        <v>12</v>
      </c>
      <c r="C188" s="0" t="s">
        <v>39</v>
      </c>
      <c r="D188" s="0" t="s">
        <v>46</v>
      </c>
      <c r="E188" s="14" t="n">
        <v>56554</v>
      </c>
      <c r="F188" s="14" t="n">
        <v>50356</v>
      </c>
      <c r="G188" s="14" t="n">
        <v>-6198</v>
      </c>
      <c r="H188" s="19" t="n">
        <v>-11</v>
      </c>
    </row>
    <row r="189" customFormat="false" ht="15" hidden="false" customHeight="false" outlineLevel="0" collapsed="false">
      <c r="A189" s="0" t="s">
        <v>27</v>
      </c>
      <c r="B189" s="0" t="n">
        <v>12</v>
      </c>
      <c r="C189" s="0" t="s">
        <v>39</v>
      </c>
      <c r="D189" s="0" t="s">
        <v>47</v>
      </c>
      <c r="E189" s="14" t="n">
        <v>37703</v>
      </c>
      <c r="F189" s="14" t="n">
        <v>39908</v>
      </c>
      <c r="G189" s="14" t="n">
        <v>2205</v>
      </c>
      <c r="H189" s="19" t="n">
        <v>5.8</v>
      </c>
    </row>
    <row r="190" customFormat="false" ht="15" hidden="false" customHeight="false" outlineLevel="0" collapsed="false">
      <c r="A190" s="0" t="s">
        <v>27</v>
      </c>
      <c r="B190" s="0" t="n">
        <v>12</v>
      </c>
      <c r="C190" s="0" t="s">
        <v>40</v>
      </c>
      <c r="D190" s="0" t="s">
        <v>44</v>
      </c>
      <c r="E190" s="14" t="n">
        <v>93937</v>
      </c>
      <c r="F190" s="14" t="n">
        <v>91996</v>
      </c>
      <c r="G190" s="14" t="n">
        <v>-1941</v>
      </c>
      <c r="H190" s="19" t="n">
        <v>-2.1</v>
      </c>
    </row>
    <row r="191" customFormat="false" ht="15" hidden="false" customHeight="false" outlineLevel="0" collapsed="false">
      <c r="A191" s="0" t="s">
        <v>27</v>
      </c>
      <c r="B191" s="0" t="n">
        <v>12</v>
      </c>
      <c r="C191" s="0" t="s">
        <v>40</v>
      </c>
      <c r="D191" s="0" t="s">
        <v>45</v>
      </c>
      <c r="E191" s="14" t="n">
        <v>62625</v>
      </c>
      <c r="F191" s="14" t="n">
        <v>68326</v>
      </c>
      <c r="G191" s="14" t="n">
        <v>5701</v>
      </c>
      <c r="H191" s="19" t="n">
        <v>9.1</v>
      </c>
    </row>
    <row r="192" customFormat="false" ht="15" hidden="false" customHeight="false" outlineLevel="0" collapsed="false">
      <c r="A192" s="0" t="s">
        <v>27</v>
      </c>
      <c r="B192" s="0" t="n">
        <v>12</v>
      </c>
      <c r="C192" s="0" t="s">
        <v>40</v>
      </c>
      <c r="D192" s="0" t="s">
        <v>46</v>
      </c>
      <c r="E192" s="14" t="n">
        <v>40259</v>
      </c>
      <c r="F192" s="14" t="n">
        <v>41140</v>
      </c>
      <c r="G192" s="14" t="n">
        <v>881</v>
      </c>
      <c r="H192" s="19" t="n">
        <v>2.2</v>
      </c>
    </row>
    <row r="193" customFormat="false" ht="15" hidden="false" customHeight="false" outlineLevel="0" collapsed="false">
      <c r="A193" s="0" t="s">
        <v>27</v>
      </c>
      <c r="B193" s="0" t="n">
        <v>12</v>
      </c>
      <c r="C193" s="0" t="s">
        <v>40</v>
      </c>
      <c r="D193" s="0" t="s">
        <v>47</v>
      </c>
      <c r="E193" s="14" t="n">
        <v>26839</v>
      </c>
      <c r="F193" s="14" t="n">
        <v>25231</v>
      </c>
      <c r="G193" s="14" t="n">
        <v>-1608</v>
      </c>
      <c r="H193" s="19" t="n">
        <v>-6</v>
      </c>
    </row>
    <row r="194" customFormat="false" ht="15" hidden="false" customHeight="false" outlineLevel="0" collapsed="false">
      <c r="A194" s="0" t="s">
        <v>28</v>
      </c>
      <c r="B194" s="0" t="n">
        <v>13</v>
      </c>
      <c r="C194" s="0" t="s">
        <v>37</v>
      </c>
      <c r="D194" s="0" t="s">
        <v>44</v>
      </c>
      <c r="E194" s="14" t="n">
        <v>226194</v>
      </c>
      <c r="F194" s="14" t="n">
        <v>245780</v>
      </c>
      <c r="G194" s="14" t="n">
        <v>19586</v>
      </c>
      <c r="H194" s="19" t="n">
        <v>8.7</v>
      </c>
    </row>
    <row r="195" customFormat="false" ht="15" hidden="false" customHeight="false" outlineLevel="0" collapsed="false">
      <c r="A195" s="0" t="s">
        <v>28</v>
      </c>
      <c r="B195" s="0" t="n">
        <v>13</v>
      </c>
      <c r="C195" s="0" t="s">
        <v>37</v>
      </c>
      <c r="D195" s="0" t="s">
        <v>45</v>
      </c>
      <c r="E195" s="14" t="n">
        <v>150796</v>
      </c>
      <c r="F195" s="14" t="n">
        <v>141056</v>
      </c>
      <c r="G195" s="14" t="n">
        <v>-9740</v>
      </c>
      <c r="H195" s="19" t="n">
        <v>-6.5</v>
      </c>
    </row>
    <row r="196" customFormat="false" ht="15" hidden="false" customHeight="false" outlineLevel="0" collapsed="false">
      <c r="A196" s="0" t="s">
        <v>28</v>
      </c>
      <c r="B196" s="0" t="n">
        <v>13</v>
      </c>
      <c r="C196" s="0" t="s">
        <v>37</v>
      </c>
      <c r="D196" s="0" t="s">
        <v>46</v>
      </c>
      <c r="E196" s="14" t="n">
        <v>96940</v>
      </c>
      <c r="F196" s="14" t="n">
        <v>81021</v>
      </c>
      <c r="G196" s="14" t="n">
        <v>-15919</v>
      </c>
      <c r="H196" s="19" t="n">
        <v>-16.4</v>
      </c>
    </row>
    <row r="197" customFormat="false" ht="15" hidden="false" customHeight="false" outlineLevel="0" collapsed="false">
      <c r="A197" s="0" t="s">
        <v>28</v>
      </c>
      <c r="B197" s="0" t="n">
        <v>13</v>
      </c>
      <c r="C197" s="0" t="s">
        <v>37</v>
      </c>
      <c r="D197" s="0" t="s">
        <v>47</v>
      </c>
      <c r="E197" s="14" t="n">
        <v>64627</v>
      </c>
      <c r="F197" s="14" t="n">
        <v>75297</v>
      </c>
      <c r="G197" s="14" t="n">
        <v>10670</v>
      </c>
      <c r="H197" s="19" t="n">
        <v>16.5</v>
      </c>
    </row>
    <row r="198" customFormat="false" ht="15" hidden="false" customHeight="false" outlineLevel="0" collapsed="false">
      <c r="A198" s="0" t="s">
        <v>28</v>
      </c>
      <c r="B198" s="0" t="n">
        <v>13</v>
      </c>
      <c r="C198" s="0" t="s">
        <v>38</v>
      </c>
      <c r="D198" s="0" t="s">
        <v>44</v>
      </c>
      <c r="E198" s="14" t="n">
        <v>160220</v>
      </c>
      <c r="F198" s="14" t="n">
        <v>135729</v>
      </c>
      <c r="G198" s="14" t="n">
        <v>-24491</v>
      </c>
      <c r="H198" s="19" t="n">
        <v>-15.3</v>
      </c>
    </row>
    <row r="199" customFormat="false" ht="15" hidden="false" customHeight="false" outlineLevel="0" collapsed="false">
      <c r="A199" s="0" t="s">
        <v>28</v>
      </c>
      <c r="B199" s="0" t="n">
        <v>13</v>
      </c>
      <c r="C199" s="0" t="s">
        <v>38</v>
      </c>
      <c r="D199" s="0" t="s">
        <v>45</v>
      </c>
      <c r="E199" s="14" t="n">
        <v>106814</v>
      </c>
      <c r="F199" s="14" t="n">
        <v>112252</v>
      </c>
      <c r="G199" s="14" t="n">
        <v>5438</v>
      </c>
      <c r="H199" s="19" t="n">
        <v>5.1</v>
      </c>
    </row>
    <row r="200" customFormat="false" ht="15" hidden="false" customHeight="false" outlineLevel="0" collapsed="false">
      <c r="A200" s="0" t="s">
        <v>28</v>
      </c>
      <c r="B200" s="0" t="n">
        <v>13</v>
      </c>
      <c r="C200" s="0" t="s">
        <v>38</v>
      </c>
      <c r="D200" s="0" t="s">
        <v>46</v>
      </c>
      <c r="E200" s="14" t="n">
        <v>68666</v>
      </c>
      <c r="F200" s="14" t="n">
        <v>73823</v>
      </c>
      <c r="G200" s="14" t="n">
        <v>5157</v>
      </c>
      <c r="H200" s="19" t="n">
        <v>7.5</v>
      </c>
    </row>
    <row r="201" customFormat="false" ht="15" hidden="false" customHeight="false" outlineLevel="0" collapsed="false">
      <c r="A201" s="0" t="s">
        <v>28</v>
      </c>
      <c r="B201" s="0" t="n">
        <v>13</v>
      </c>
      <c r="C201" s="0" t="s">
        <v>38</v>
      </c>
      <c r="D201" s="0" t="s">
        <v>47</v>
      </c>
      <c r="E201" s="14" t="n">
        <v>45777</v>
      </c>
      <c r="F201" s="14" t="n">
        <v>46316</v>
      </c>
      <c r="G201" s="14" t="n">
        <v>539</v>
      </c>
      <c r="H201" s="19" t="n">
        <v>1.2</v>
      </c>
    </row>
    <row r="202" customFormat="false" ht="15" hidden="false" customHeight="false" outlineLevel="0" collapsed="false">
      <c r="A202" s="0" t="s">
        <v>28</v>
      </c>
      <c r="B202" s="0" t="n">
        <v>13</v>
      </c>
      <c r="C202" s="0" t="s">
        <v>39</v>
      </c>
      <c r="D202" s="0" t="s">
        <v>44</v>
      </c>
      <c r="E202" s="14" t="n">
        <v>139015</v>
      </c>
      <c r="F202" s="14" t="n">
        <v>120293</v>
      </c>
      <c r="G202" s="14" t="n">
        <v>-18722</v>
      </c>
      <c r="H202" s="19" t="n">
        <v>-13.5</v>
      </c>
    </row>
    <row r="203" customFormat="false" ht="15" hidden="false" customHeight="false" outlineLevel="0" collapsed="false">
      <c r="A203" s="0" t="s">
        <v>28</v>
      </c>
      <c r="B203" s="0" t="n">
        <v>13</v>
      </c>
      <c r="C203" s="0" t="s">
        <v>39</v>
      </c>
      <c r="D203" s="0" t="s">
        <v>45</v>
      </c>
      <c r="E203" s="14" t="n">
        <v>92677</v>
      </c>
      <c r="F203" s="14" t="n">
        <v>100202</v>
      </c>
      <c r="G203" s="14" t="n">
        <v>7525</v>
      </c>
      <c r="H203" s="19" t="n">
        <v>8.1</v>
      </c>
    </row>
    <row r="204" customFormat="false" ht="15" hidden="false" customHeight="false" outlineLevel="0" collapsed="false">
      <c r="A204" s="0" t="s">
        <v>28</v>
      </c>
      <c r="B204" s="0" t="n">
        <v>13</v>
      </c>
      <c r="C204" s="0" t="s">
        <v>39</v>
      </c>
      <c r="D204" s="0" t="s">
        <v>46</v>
      </c>
      <c r="E204" s="14" t="n">
        <v>59578</v>
      </c>
      <c r="F204" s="14" t="n">
        <v>52707</v>
      </c>
      <c r="G204" s="14" t="n">
        <v>-6871</v>
      </c>
      <c r="H204" s="19" t="n">
        <v>-11.5</v>
      </c>
    </row>
    <row r="205" customFormat="false" ht="15" hidden="false" customHeight="false" outlineLevel="0" collapsed="false">
      <c r="A205" s="0" t="s">
        <v>28</v>
      </c>
      <c r="B205" s="0" t="n">
        <v>13</v>
      </c>
      <c r="C205" s="0" t="s">
        <v>39</v>
      </c>
      <c r="D205" s="0" t="s">
        <v>47</v>
      </c>
      <c r="E205" s="14" t="n">
        <v>39719</v>
      </c>
      <c r="F205" s="14" t="n">
        <v>35449</v>
      </c>
      <c r="G205" s="14" t="n">
        <v>-4270</v>
      </c>
      <c r="H205" s="19" t="n">
        <v>-10.8</v>
      </c>
    </row>
    <row r="206" customFormat="false" ht="15" hidden="false" customHeight="false" outlineLevel="0" collapsed="false">
      <c r="A206" s="0" t="s">
        <v>28</v>
      </c>
      <c r="B206" s="0" t="n">
        <v>13</v>
      </c>
      <c r="C206" s="0" t="s">
        <v>40</v>
      </c>
      <c r="D206" s="0" t="s">
        <v>44</v>
      </c>
      <c r="E206" s="14" t="n">
        <v>98960</v>
      </c>
      <c r="F206" s="14" t="n">
        <v>96096</v>
      </c>
      <c r="G206" s="14" t="n">
        <v>-2864</v>
      </c>
      <c r="H206" s="19" t="n">
        <v>-2.9</v>
      </c>
    </row>
    <row r="207" customFormat="false" ht="15" hidden="false" customHeight="false" outlineLevel="0" collapsed="false">
      <c r="A207" s="0" t="s">
        <v>28</v>
      </c>
      <c r="B207" s="0" t="n">
        <v>13</v>
      </c>
      <c r="C207" s="0" t="s">
        <v>40</v>
      </c>
      <c r="D207" s="0" t="s">
        <v>45</v>
      </c>
      <c r="E207" s="14" t="n">
        <v>65973</v>
      </c>
      <c r="F207" s="14" t="n">
        <v>70135</v>
      </c>
      <c r="G207" s="14" t="n">
        <v>4162</v>
      </c>
      <c r="H207" s="19" t="n">
        <v>6.3</v>
      </c>
    </row>
    <row r="208" customFormat="false" ht="15" hidden="false" customHeight="false" outlineLevel="0" collapsed="false">
      <c r="A208" s="0" t="s">
        <v>28</v>
      </c>
      <c r="B208" s="0" t="n">
        <v>13</v>
      </c>
      <c r="C208" s="0" t="s">
        <v>40</v>
      </c>
      <c r="D208" s="0" t="s">
        <v>46</v>
      </c>
      <c r="E208" s="14" t="n">
        <v>42411</v>
      </c>
      <c r="F208" s="14" t="n">
        <v>43430</v>
      </c>
      <c r="G208" s="14" t="n">
        <v>1019</v>
      </c>
      <c r="H208" s="19" t="n">
        <v>2.4</v>
      </c>
    </row>
    <row r="209" customFormat="false" ht="15" hidden="false" customHeight="false" outlineLevel="0" collapsed="false">
      <c r="A209" s="0" t="s">
        <v>28</v>
      </c>
      <c r="B209" s="0" t="n">
        <v>13</v>
      </c>
      <c r="C209" s="0" t="s">
        <v>40</v>
      </c>
      <c r="D209" s="0" t="s">
        <v>47</v>
      </c>
      <c r="E209" s="14" t="n">
        <v>28274</v>
      </c>
      <c r="F209" s="14" t="n">
        <v>30108</v>
      </c>
      <c r="G209" s="14" t="n">
        <v>1834</v>
      </c>
      <c r="H209" s="19" t="n">
        <v>6.5</v>
      </c>
    </row>
    <row r="210" customFormat="false" ht="15" hidden="false" customHeight="false" outlineLevel="0" collapsed="false">
      <c r="A210" s="0" t="s">
        <v>29</v>
      </c>
      <c r="B210" s="0" t="n">
        <v>14</v>
      </c>
      <c r="C210" s="0" t="s">
        <v>37</v>
      </c>
      <c r="D210" s="0" t="s">
        <v>44</v>
      </c>
      <c r="E210" s="14" t="n">
        <v>235738</v>
      </c>
      <c r="F210" s="14" t="n">
        <v>227371</v>
      </c>
      <c r="G210" s="14" t="n">
        <v>-8367</v>
      </c>
      <c r="H210" s="19" t="n">
        <v>-3.5</v>
      </c>
    </row>
    <row r="211" customFormat="false" ht="15" hidden="false" customHeight="false" outlineLevel="0" collapsed="false">
      <c r="A211" s="0" t="s">
        <v>29</v>
      </c>
      <c r="B211" s="0" t="n">
        <v>14</v>
      </c>
      <c r="C211" s="0" t="s">
        <v>37</v>
      </c>
      <c r="D211" s="0" t="s">
        <v>45</v>
      </c>
      <c r="E211" s="14" t="n">
        <v>157158</v>
      </c>
      <c r="F211" s="14" t="n">
        <v>154994</v>
      </c>
      <c r="G211" s="14" t="n">
        <v>-2164</v>
      </c>
      <c r="H211" s="19" t="n">
        <v>-1.4</v>
      </c>
    </row>
    <row r="212" customFormat="false" ht="15" hidden="false" customHeight="false" outlineLevel="0" collapsed="false">
      <c r="A212" s="0" t="s">
        <v>29</v>
      </c>
      <c r="B212" s="0" t="n">
        <v>14</v>
      </c>
      <c r="C212" s="0" t="s">
        <v>37</v>
      </c>
      <c r="D212" s="0" t="s">
        <v>46</v>
      </c>
      <c r="E212" s="14" t="n">
        <v>101030</v>
      </c>
      <c r="F212" s="14" t="n">
        <v>91840</v>
      </c>
      <c r="G212" s="14" t="n">
        <v>-9190</v>
      </c>
      <c r="H212" s="19" t="n">
        <v>-9.1</v>
      </c>
    </row>
    <row r="213" customFormat="false" ht="15" hidden="false" customHeight="false" outlineLevel="0" collapsed="false">
      <c r="A213" s="0" t="s">
        <v>29</v>
      </c>
      <c r="B213" s="0" t="n">
        <v>14</v>
      </c>
      <c r="C213" s="0" t="s">
        <v>37</v>
      </c>
      <c r="D213" s="0" t="s">
        <v>47</v>
      </c>
      <c r="E213" s="14" t="n">
        <v>67354</v>
      </c>
      <c r="F213" s="14" t="n">
        <v>65646</v>
      </c>
      <c r="G213" s="14" t="n">
        <v>-1708</v>
      </c>
      <c r="H213" s="19" t="n">
        <v>-2.5</v>
      </c>
    </row>
    <row r="214" customFormat="false" ht="15" hidden="false" customHeight="false" outlineLevel="0" collapsed="false">
      <c r="A214" s="0" t="s">
        <v>29</v>
      </c>
      <c r="B214" s="0" t="n">
        <v>14</v>
      </c>
      <c r="C214" s="0" t="s">
        <v>38</v>
      </c>
      <c r="D214" s="0" t="s">
        <v>44</v>
      </c>
      <c r="E214" s="14" t="n">
        <v>166981</v>
      </c>
      <c r="F214" s="14" t="n">
        <v>174904</v>
      </c>
      <c r="G214" s="14" t="n">
        <v>7923</v>
      </c>
      <c r="H214" s="19" t="n">
        <v>4.7</v>
      </c>
    </row>
    <row r="215" customFormat="false" ht="15" hidden="false" customHeight="false" outlineLevel="0" collapsed="false">
      <c r="A215" s="0" t="s">
        <v>29</v>
      </c>
      <c r="B215" s="0" t="n">
        <v>14</v>
      </c>
      <c r="C215" s="0" t="s">
        <v>38</v>
      </c>
      <c r="D215" s="0" t="s">
        <v>45</v>
      </c>
      <c r="E215" s="14" t="n">
        <v>111321</v>
      </c>
      <c r="F215" s="14" t="n">
        <v>108650</v>
      </c>
      <c r="G215" s="14" t="n">
        <v>-2671</v>
      </c>
      <c r="H215" s="19" t="n">
        <v>-2.4</v>
      </c>
    </row>
    <row r="216" customFormat="false" ht="15" hidden="false" customHeight="false" outlineLevel="0" collapsed="false">
      <c r="A216" s="0" t="s">
        <v>29</v>
      </c>
      <c r="B216" s="0" t="n">
        <v>14</v>
      </c>
      <c r="C216" s="0" t="s">
        <v>38</v>
      </c>
      <c r="D216" s="0" t="s">
        <v>46</v>
      </c>
      <c r="E216" s="14" t="n">
        <v>71563</v>
      </c>
      <c r="F216" s="14" t="n">
        <v>74285</v>
      </c>
      <c r="G216" s="14" t="n">
        <v>2722</v>
      </c>
      <c r="H216" s="19" t="n">
        <v>3.8</v>
      </c>
    </row>
    <row r="217" customFormat="false" ht="15" hidden="false" customHeight="false" outlineLevel="0" collapsed="false">
      <c r="A217" s="0" t="s">
        <v>29</v>
      </c>
      <c r="B217" s="0" t="n">
        <v>14</v>
      </c>
      <c r="C217" s="0" t="s">
        <v>38</v>
      </c>
      <c r="D217" s="0" t="s">
        <v>47</v>
      </c>
      <c r="E217" s="14" t="n">
        <v>47709</v>
      </c>
      <c r="F217" s="14" t="n">
        <v>45521</v>
      </c>
      <c r="G217" s="14" t="n">
        <v>-2188</v>
      </c>
      <c r="H217" s="19" t="n">
        <v>-4.6</v>
      </c>
    </row>
    <row r="218" customFormat="false" ht="15" hidden="false" customHeight="false" outlineLevel="0" collapsed="false">
      <c r="A218" s="0" t="s">
        <v>29</v>
      </c>
      <c r="B218" s="0" t="n">
        <v>14</v>
      </c>
      <c r="C218" s="0" t="s">
        <v>39</v>
      </c>
      <c r="D218" s="0" t="s">
        <v>44</v>
      </c>
      <c r="E218" s="14" t="n">
        <v>144880</v>
      </c>
      <c r="F218" s="14" t="n">
        <v>138014</v>
      </c>
      <c r="G218" s="14" t="n">
        <v>-6866</v>
      </c>
      <c r="H218" s="19" t="n">
        <v>-4.7</v>
      </c>
    </row>
    <row r="219" customFormat="false" ht="15" hidden="false" customHeight="false" outlineLevel="0" collapsed="false">
      <c r="A219" s="0" t="s">
        <v>29</v>
      </c>
      <c r="B219" s="0" t="n">
        <v>14</v>
      </c>
      <c r="C219" s="0" t="s">
        <v>39</v>
      </c>
      <c r="D219" s="0" t="s">
        <v>45</v>
      </c>
      <c r="E219" s="14" t="n">
        <v>96587</v>
      </c>
      <c r="F219" s="14" t="n">
        <v>96890</v>
      </c>
      <c r="G219" s="14" t="n">
        <v>303</v>
      </c>
      <c r="H219" s="19" t="n">
        <v>0.3</v>
      </c>
    </row>
    <row r="220" customFormat="false" ht="15" hidden="false" customHeight="false" outlineLevel="0" collapsed="false">
      <c r="A220" s="0" t="s">
        <v>29</v>
      </c>
      <c r="B220" s="0" t="n">
        <v>14</v>
      </c>
      <c r="C220" s="0" t="s">
        <v>39</v>
      </c>
      <c r="D220" s="0" t="s">
        <v>46</v>
      </c>
      <c r="E220" s="14" t="n">
        <v>62092</v>
      </c>
      <c r="F220" s="14" t="n">
        <v>61124</v>
      </c>
      <c r="G220" s="14" t="n">
        <v>-968</v>
      </c>
      <c r="H220" s="19" t="n">
        <v>-1.6</v>
      </c>
    </row>
    <row r="221" customFormat="false" ht="15" hidden="false" customHeight="false" outlineLevel="0" collapsed="false">
      <c r="A221" s="0" t="s">
        <v>29</v>
      </c>
      <c r="B221" s="0" t="n">
        <v>14</v>
      </c>
      <c r="C221" s="0" t="s">
        <v>39</v>
      </c>
      <c r="D221" s="0" t="s">
        <v>47</v>
      </c>
      <c r="E221" s="14" t="n">
        <v>41394</v>
      </c>
      <c r="F221" s="14" t="n">
        <v>43356</v>
      </c>
      <c r="G221" s="14" t="n">
        <v>1962</v>
      </c>
      <c r="H221" s="19" t="n">
        <v>4.7</v>
      </c>
    </row>
    <row r="222" customFormat="false" ht="15" hidden="false" customHeight="false" outlineLevel="0" collapsed="false">
      <c r="A222" s="0" t="s">
        <v>29</v>
      </c>
      <c r="B222" s="0" t="n">
        <v>14</v>
      </c>
      <c r="C222" s="0" t="s">
        <v>40</v>
      </c>
      <c r="D222" s="0" t="s">
        <v>44</v>
      </c>
      <c r="E222" s="14" t="n">
        <v>103135</v>
      </c>
      <c r="F222" s="14" t="n">
        <v>104606</v>
      </c>
      <c r="G222" s="14" t="n">
        <v>1471</v>
      </c>
      <c r="H222" s="19" t="n">
        <v>1.4</v>
      </c>
    </row>
    <row r="223" customFormat="false" ht="15" hidden="false" customHeight="false" outlineLevel="0" collapsed="false">
      <c r="A223" s="0" t="s">
        <v>29</v>
      </c>
      <c r="B223" s="0" t="n">
        <v>14</v>
      </c>
      <c r="C223" s="0" t="s">
        <v>40</v>
      </c>
      <c r="D223" s="0" t="s">
        <v>45</v>
      </c>
      <c r="E223" s="14" t="n">
        <v>68757</v>
      </c>
      <c r="F223" s="14" t="n">
        <v>78330</v>
      </c>
      <c r="G223" s="14" t="n">
        <v>9573</v>
      </c>
      <c r="H223" s="19" t="n">
        <v>13.9</v>
      </c>
    </row>
    <row r="224" customFormat="false" ht="15" hidden="false" customHeight="false" outlineLevel="0" collapsed="false">
      <c r="A224" s="0" t="s">
        <v>29</v>
      </c>
      <c r="B224" s="0" t="n">
        <v>14</v>
      </c>
      <c r="C224" s="0" t="s">
        <v>40</v>
      </c>
      <c r="D224" s="0" t="s">
        <v>46</v>
      </c>
      <c r="E224" s="14" t="n">
        <v>44201</v>
      </c>
      <c r="F224" s="14" t="n">
        <v>43425</v>
      </c>
      <c r="G224" s="14" t="n">
        <v>-776</v>
      </c>
      <c r="H224" s="19" t="n">
        <v>-1.8</v>
      </c>
    </row>
    <row r="225" customFormat="false" ht="15" hidden="false" customHeight="false" outlineLevel="0" collapsed="false">
      <c r="A225" s="0" t="s">
        <v>29</v>
      </c>
      <c r="B225" s="0" t="n">
        <v>14</v>
      </c>
      <c r="C225" s="0" t="s">
        <v>40</v>
      </c>
      <c r="D225" s="0" t="s">
        <v>47</v>
      </c>
      <c r="E225" s="14" t="n">
        <v>29467</v>
      </c>
      <c r="F225" s="14" t="n">
        <v>28931</v>
      </c>
      <c r="G225" s="14" t="n">
        <v>-536</v>
      </c>
      <c r="H225" s="19" t="n">
        <v>-1.8</v>
      </c>
    </row>
    <row r="226" customFormat="false" ht="15" hidden="false" customHeight="false" outlineLevel="0" collapsed="false">
      <c r="A226" s="0" t="s">
        <v>30</v>
      </c>
      <c r="B226" s="0" t="n">
        <v>15</v>
      </c>
      <c r="C226" s="0" t="s">
        <v>37</v>
      </c>
      <c r="D226" s="0" t="s">
        <v>44</v>
      </c>
      <c r="E226" s="14" t="n">
        <v>241127</v>
      </c>
      <c r="F226" s="14" t="n">
        <v>221063</v>
      </c>
      <c r="G226" s="14" t="n">
        <v>-20064</v>
      </c>
      <c r="H226" s="19" t="n">
        <v>-8.3</v>
      </c>
    </row>
    <row r="227" customFormat="false" ht="15" hidden="false" customHeight="false" outlineLevel="0" collapsed="false">
      <c r="A227" s="0" t="s">
        <v>30</v>
      </c>
      <c r="B227" s="0" t="n">
        <v>15</v>
      </c>
      <c r="C227" s="0" t="s">
        <v>37</v>
      </c>
      <c r="D227" s="0" t="s">
        <v>45</v>
      </c>
      <c r="E227" s="14" t="n">
        <v>160751</v>
      </c>
      <c r="F227" s="14" t="n">
        <v>161044</v>
      </c>
      <c r="G227" s="14" t="n">
        <v>293</v>
      </c>
      <c r="H227" s="19" t="n">
        <v>0.2</v>
      </c>
    </row>
    <row r="228" customFormat="false" ht="15" hidden="false" customHeight="false" outlineLevel="0" collapsed="false">
      <c r="A228" s="0" t="s">
        <v>30</v>
      </c>
      <c r="B228" s="0" t="n">
        <v>15</v>
      </c>
      <c r="C228" s="0" t="s">
        <v>37</v>
      </c>
      <c r="D228" s="0" t="s">
        <v>46</v>
      </c>
      <c r="E228" s="14" t="n">
        <v>103340</v>
      </c>
      <c r="F228" s="14" t="n">
        <v>108985</v>
      </c>
      <c r="G228" s="14" t="n">
        <v>5645</v>
      </c>
      <c r="H228" s="19" t="n">
        <v>5.5</v>
      </c>
    </row>
    <row r="229" customFormat="false" ht="15" hidden="false" customHeight="false" outlineLevel="0" collapsed="false">
      <c r="A229" s="0" t="s">
        <v>30</v>
      </c>
      <c r="B229" s="0" t="n">
        <v>15</v>
      </c>
      <c r="C229" s="0" t="s">
        <v>37</v>
      </c>
      <c r="D229" s="0" t="s">
        <v>47</v>
      </c>
      <c r="E229" s="14" t="n">
        <v>68893</v>
      </c>
      <c r="F229" s="14" t="n">
        <v>64813</v>
      </c>
      <c r="G229" s="14" t="n">
        <v>-4080</v>
      </c>
      <c r="H229" s="19" t="n">
        <v>-5.9</v>
      </c>
    </row>
    <row r="230" customFormat="false" ht="15" hidden="false" customHeight="false" outlineLevel="0" collapsed="false">
      <c r="A230" s="0" t="s">
        <v>30</v>
      </c>
      <c r="B230" s="0" t="n">
        <v>15</v>
      </c>
      <c r="C230" s="0" t="s">
        <v>38</v>
      </c>
      <c r="D230" s="0" t="s">
        <v>44</v>
      </c>
      <c r="E230" s="14" t="n">
        <v>170798</v>
      </c>
      <c r="F230" s="14" t="n">
        <v>170120</v>
      </c>
      <c r="G230" s="14" t="n">
        <v>-678</v>
      </c>
      <c r="H230" s="19" t="n">
        <v>-0.4</v>
      </c>
    </row>
    <row r="231" customFormat="false" ht="15" hidden="false" customHeight="false" outlineLevel="0" collapsed="false">
      <c r="A231" s="0" t="s">
        <v>30</v>
      </c>
      <c r="B231" s="0" t="n">
        <v>15</v>
      </c>
      <c r="C231" s="0" t="s">
        <v>38</v>
      </c>
      <c r="D231" s="0" t="s">
        <v>45</v>
      </c>
      <c r="E231" s="14" t="n">
        <v>113865</v>
      </c>
      <c r="F231" s="14" t="n">
        <v>120411</v>
      </c>
      <c r="G231" s="14" t="n">
        <v>6546</v>
      </c>
      <c r="H231" s="19" t="n">
        <v>5.7</v>
      </c>
    </row>
    <row r="232" customFormat="false" ht="15" hidden="false" customHeight="false" outlineLevel="0" collapsed="false">
      <c r="A232" s="0" t="s">
        <v>30</v>
      </c>
      <c r="B232" s="0" t="n">
        <v>15</v>
      </c>
      <c r="C232" s="0" t="s">
        <v>38</v>
      </c>
      <c r="D232" s="0" t="s">
        <v>46</v>
      </c>
      <c r="E232" s="14" t="n">
        <v>73199</v>
      </c>
      <c r="F232" s="14" t="n">
        <v>72456</v>
      </c>
      <c r="G232" s="14" t="n">
        <v>-743</v>
      </c>
      <c r="H232" s="19" t="n">
        <v>-1</v>
      </c>
    </row>
    <row r="233" customFormat="false" ht="15" hidden="false" customHeight="false" outlineLevel="0" collapsed="false">
      <c r="A233" s="0" t="s">
        <v>30</v>
      </c>
      <c r="B233" s="0" t="n">
        <v>15</v>
      </c>
      <c r="C233" s="0" t="s">
        <v>38</v>
      </c>
      <c r="D233" s="0" t="s">
        <v>47</v>
      </c>
      <c r="E233" s="14" t="n">
        <v>48799</v>
      </c>
      <c r="F233" s="14" t="n">
        <v>46773</v>
      </c>
      <c r="G233" s="14" t="n">
        <v>-2026</v>
      </c>
      <c r="H233" s="19" t="n">
        <v>-4.2</v>
      </c>
    </row>
    <row r="234" customFormat="false" ht="15" hidden="false" customHeight="false" outlineLevel="0" collapsed="false">
      <c r="A234" s="0" t="s">
        <v>30</v>
      </c>
      <c r="B234" s="0" t="n">
        <v>15</v>
      </c>
      <c r="C234" s="0" t="s">
        <v>39</v>
      </c>
      <c r="D234" s="0" t="s">
        <v>44</v>
      </c>
      <c r="E234" s="14" t="n">
        <v>148193</v>
      </c>
      <c r="F234" s="14" t="n">
        <v>159729</v>
      </c>
      <c r="G234" s="14" t="n">
        <v>11536</v>
      </c>
      <c r="H234" s="19" t="n">
        <v>7.8</v>
      </c>
    </row>
    <row r="235" customFormat="false" ht="15" hidden="false" customHeight="false" outlineLevel="0" collapsed="false">
      <c r="A235" s="0" t="s">
        <v>30</v>
      </c>
      <c r="B235" s="0" t="n">
        <v>15</v>
      </c>
      <c r="C235" s="0" t="s">
        <v>39</v>
      </c>
      <c r="D235" s="0" t="s">
        <v>45</v>
      </c>
      <c r="E235" s="14" t="n">
        <v>98795</v>
      </c>
      <c r="F235" s="14" t="n">
        <v>99562</v>
      </c>
      <c r="G235" s="14" t="n">
        <v>767</v>
      </c>
      <c r="H235" s="19" t="n">
        <v>0.8</v>
      </c>
    </row>
    <row r="236" customFormat="false" ht="15" hidden="false" customHeight="false" outlineLevel="0" collapsed="false">
      <c r="A236" s="0" t="s">
        <v>30</v>
      </c>
      <c r="B236" s="0" t="n">
        <v>15</v>
      </c>
      <c r="C236" s="0" t="s">
        <v>39</v>
      </c>
      <c r="D236" s="0" t="s">
        <v>46</v>
      </c>
      <c r="E236" s="14" t="n">
        <v>63511</v>
      </c>
      <c r="F236" s="14" t="n">
        <v>65526</v>
      </c>
      <c r="G236" s="14" t="n">
        <v>2015</v>
      </c>
      <c r="H236" s="19" t="n">
        <v>3.2</v>
      </c>
    </row>
    <row r="237" customFormat="false" ht="15" hidden="false" customHeight="false" outlineLevel="0" collapsed="false">
      <c r="A237" s="0" t="s">
        <v>30</v>
      </c>
      <c r="B237" s="0" t="n">
        <v>15</v>
      </c>
      <c r="C237" s="0" t="s">
        <v>39</v>
      </c>
      <c r="D237" s="0" t="s">
        <v>47</v>
      </c>
      <c r="E237" s="14" t="n">
        <v>42341</v>
      </c>
      <c r="F237" s="14" t="n">
        <v>46309</v>
      </c>
      <c r="G237" s="14" t="n">
        <v>3968</v>
      </c>
      <c r="H237" s="19" t="n">
        <v>9.4</v>
      </c>
    </row>
    <row r="238" customFormat="false" ht="15" hidden="false" customHeight="false" outlineLevel="0" collapsed="false">
      <c r="A238" s="0" t="s">
        <v>30</v>
      </c>
      <c r="B238" s="0" t="n">
        <v>15</v>
      </c>
      <c r="C238" s="0" t="s">
        <v>40</v>
      </c>
      <c r="D238" s="0" t="s">
        <v>44</v>
      </c>
      <c r="E238" s="14" t="n">
        <v>105493</v>
      </c>
      <c r="F238" s="14" t="n">
        <v>115159</v>
      </c>
      <c r="G238" s="14" t="n">
        <v>9666</v>
      </c>
      <c r="H238" s="19" t="n">
        <v>9.2</v>
      </c>
    </row>
    <row r="239" customFormat="false" ht="15" hidden="false" customHeight="false" outlineLevel="0" collapsed="false">
      <c r="A239" s="0" t="s">
        <v>30</v>
      </c>
      <c r="B239" s="0" t="n">
        <v>15</v>
      </c>
      <c r="C239" s="0" t="s">
        <v>40</v>
      </c>
      <c r="D239" s="0" t="s">
        <v>45</v>
      </c>
      <c r="E239" s="14" t="n">
        <v>70329</v>
      </c>
      <c r="F239" s="14" t="n">
        <v>68375</v>
      </c>
      <c r="G239" s="14" t="n">
        <v>-1954</v>
      </c>
      <c r="H239" s="19" t="n">
        <v>-2.8</v>
      </c>
    </row>
    <row r="240" customFormat="false" ht="15" hidden="false" customHeight="false" outlineLevel="0" collapsed="false">
      <c r="A240" s="0" t="s">
        <v>30</v>
      </c>
      <c r="B240" s="0" t="n">
        <v>15</v>
      </c>
      <c r="C240" s="0" t="s">
        <v>40</v>
      </c>
      <c r="D240" s="0" t="s">
        <v>46</v>
      </c>
      <c r="E240" s="14" t="n">
        <v>45211</v>
      </c>
      <c r="F240" s="14" t="n">
        <v>43311</v>
      </c>
      <c r="G240" s="14" t="n">
        <v>-1900</v>
      </c>
      <c r="H240" s="19" t="n">
        <v>-4.2</v>
      </c>
    </row>
    <row r="241" customFormat="false" ht="15" hidden="false" customHeight="false" outlineLevel="0" collapsed="false">
      <c r="A241" s="0" t="s">
        <v>30</v>
      </c>
      <c r="B241" s="0" t="n">
        <v>15</v>
      </c>
      <c r="C241" s="0" t="s">
        <v>40</v>
      </c>
      <c r="D241" s="0" t="s">
        <v>47</v>
      </c>
      <c r="E241" s="14" t="n">
        <v>30141</v>
      </c>
      <c r="F241" s="14" t="n">
        <v>30826</v>
      </c>
      <c r="G241" s="14" t="n">
        <v>685</v>
      </c>
      <c r="H241" s="19" t="n">
        <v>2.3</v>
      </c>
    </row>
    <row r="242" customFormat="false" ht="15" hidden="false" customHeight="false" outlineLevel="0" collapsed="false">
      <c r="A242" s="0" t="s">
        <v>31</v>
      </c>
      <c r="B242" s="0" t="n">
        <v>16</v>
      </c>
      <c r="C242" s="0" t="s">
        <v>37</v>
      </c>
      <c r="D242" s="0" t="s">
        <v>44</v>
      </c>
      <c r="E242" s="14" t="n">
        <v>241234</v>
      </c>
      <c r="F242" s="14" t="n">
        <v>238672</v>
      </c>
      <c r="G242" s="14" t="n">
        <v>-2562</v>
      </c>
      <c r="H242" s="19" t="n">
        <v>-1.1</v>
      </c>
    </row>
    <row r="243" customFormat="false" ht="15" hidden="false" customHeight="false" outlineLevel="0" collapsed="false">
      <c r="A243" s="0" t="s">
        <v>31</v>
      </c>
      <c r="B243" s="0" t="n">
        <v>16</v>
      </c>
      <c r="C243" s="0" t="s">
        <v>37</v>
      </c>
      <c r="D243" s="0" t="s">
        <v>45</v>
      </c>
      <c r="E243" s="14" t="n">
        <v>160823</v>
      </c>
      <c r="F243" s="14" t="n">
        <v>136380</v>
      </c>
      <c r="G243" s="14" t="n">
        <v>-24443</v>
      </c>
      <c r="H243" s="19" t="n">
        <v>-15.2</v>
      </c>
    </row>
    <row r="244" customFormat="false" ht="15" hidden="false" customHeight="false" outlineLevel="0" collapsed="false">
      <c r="A244" s="0" t="s">
        <v>31</v>
      </c>
      <c r="B244" s="0" t="n">
        <v>16</v>
      </c>
      <c r="C244" s="0" t="s">
        <v>37</v>
      </c>
      <c r="D244" s="0" t="s">
        <v>46</v>
      </c>
      <c r="E244" s="14" t="n">
        <v>103386</v>
      </c>
      <c r="F244" s="14" t="n">
        <v>113935</v>
      </c>
      <c r="G244" s="14" t="n">
        <v>10549</v>
      </c>
      <c r="H244" s="19" t="n">
        <v>10.2</v>
      </c>
    </row>
    <row r="245" customFormat="false" ht="15" hidden="false" customHeight="false" outlineLevel="0" collapsed="false">
      <c r="A245" s="0" t="s">
        <v>31</v>
      </c>
      <c r="B245" s="0" t="n">
        <v>16</v>
      </c>
      <c r="C245" s="0" t="s">
        <v>37</v>
      </c>
      <c r="D245" s="0" t="s">
        <v>47</v>
      </c>
      <c r="E245" s="14" t="n">
        <v>68924</v>
      </c>
      <c r="F245" s="14" t="n">
        <v>69031</v>
      </c>
      <c r="G245" s="14" t="n">
        <v>107</v>
      </c>
      <c r="H245" s="19" t="n">
        <v>0.2</v>
      </c>
    </row>
    <row r="246" customFormat="false" ht="15" hidden="false" customHeight="false" outlineLevel="0" collapsed="false">
      <c r="A246" s="0" t="s">
        <v>31</v>
      </c>
      <c r="B246" s="0" t="n">
        <v>16</v>
      </c>
      <c r="C246" s="0" t="s">
        <v>38</v>
      </c>
      <c r="D246" s="0" t="s">
        <v>44</v>
      </c>
      <c r="E246" s="14" t="n">
        <v>170874</v>
      </c>
      <c r="F246" s="14" t="n">
        <v>180941</v>
      </c>
      <c r="G246" s="14" t="n">
        <v>10067</v>
      </c>
      <c r="H246" s="19" t="n">
        <v>5.9</v>
      </c>
    </row>
    <row r="247" customFormat="false" ht="15" hidden="false" customHeight="false" outlineLevel="0" collapsed="false">
      <c r="A247" s="0" t="s">
        <v>31</v>
      </c>
      <c r="B247" s="0" t="n">
        <v>16</v>
      </c>
      <c r="C247" s="0" t="s">
        <v>38</v>
      </c>
      <c r="D247" s="0" t="s">
        <v>45</v>
      </c>
      <c r="E247" s="14" t="n">
        <v>113916</v>
      </c>
      <c r="F247" s="14" t="n">
        <v>103227</v>
      </c>
      <c r="G247" s="14" t="n">
        <v>-10689</v>
      </c>
      <c r="H247" s="19" t="n">
        <v>-9.4</v>
      </c>
    </row>
    <row r="248" customFormat="false" ht="15" hidden="false" customHeight="false" outlineLevel="0" collapsed="false">
      <c r="A248" s="0" t="s">
        <v>31</v>
      </c>
      <c r="B248" s="0" t="n">
        <v>16</v>
      </c>
      <c r="C248" s="0" t="s">
        <v>38</v>
      </c>
      <c r="D248" s="0" t="s">
        <v>46</v>
      </c>
      <c r="E248" s="14" t="n">
        <v>73232</v>
      </c>
      <c r="F248" s="14" t="n">
        <v>80779</v>
      </c>
      <c r="G248" s="14" t="n">
        <v>7547</v>
      </c>
      <c r="H248" s="19" t="n">
        <v>10.3</v>
      </c>
    </row>
    <row r="249" customFormat="false" ht="15" hidden="false" customHeight="false" outlineLevel="0" collapsed="false">
      <c r="A249" s="0" t="s">
        <v>31</v>
      </c>
      <c r="B249" s="0" t="n">
        <v>16</v>
      </c>
      <c r="C249" s="0" t="s">
        <v>38</v>
      </c>
      <c r="D249" s="0" t="s">
        <v>47</v>
      </c>
      <c r="E249" s="14" t="n">
        <v>48821</v>
      </c>
      <c r="F249" s="14" t="n">
        <v>46524</v>
      </c>
      <c r="G249" s="14" t="n">
        <v>-2297</v>
      </c>
      <c r="H249" s="19" t="n">
        <v>-4.7</v>
      </c>
    </row>
    <row r="250" customFormat="false" ht="15" hidden="false" customHeight="false" outlineLevel="0" collapsed="false">
      <c r="A250" s="0" t="s">
        <v>31</v>
      </c>
      <c r="B250" s="0" t="n">
        <v>16</v>
      </c>
      <c r="C250" s="0" t="s">
        <v>39</v>
      </c>
      <c r="D250" s="0" t="s">
        <v>44</v>
      </c>
      <c r="E250" s="14" t="n">
        <v>148259</v>
      </c>
      <c r="F250" s="14" t="n">
        <v>146982</v>
      </c>
      <c r="G250" s="14" t="n">
        <v>-1277</v>
      </c>
      <c r="H250" s="19" t="n">
        <v>-0.9</v>
      </c>
    </row>
    <row r="251" customFormat="false" ht="15" hidden="false" customHeight="false" outlineLevel="0" collapsed="false">
      <c r="A251" s="0" t="s">
        <v>31</v>
      </c>
      <c r="B251" s="0" t="n">
        <v>16</v>
      </c>
      <c r="C251" s="0" t="s">
        <v>39</v>
      </c>
      <c r="D251" s="0" t="s">
        <v>45</v>
      </c>
      <c r="E251" s="14" t="n">
        <v>98839</v>
      </c>
      <c r="F251" s="14" t="n">
        <v>87758</v>
      </c>
      <c r="G251" s="14" t="n">
        <v>-11081</v>
      </c>
      <c r="H251" s="19" t="n">
        <v>-11.2</v>
      </c>
    </row>
    <row r="252" customFormat="false" ht="15" hidden="false" customHeight="false" outlineLevel="0" collapsed="false">
      <c r="A252" s="0" t="s">
        <v>31</v>
      </c>
      <c r="B252" s="0" t="n">
        <v>16</v>
      </c>
      <c r="C252" s="0" t="s">
        <v>39</v>
      </c>
      <c r="D252" s="0" t="s">
        <v>46</v>
      </c>
      <c r="E252" s="14" t="n">
        <v>63539</v>
      </c>
      <c r="F252" s="14" t="n">
        <v>62691</v>
      </c>
      <c r="G252" s="14" t="n">
        <v>-848</v>
      </c>
      <c r="H252" s="19" t="n">
        <v>-1.3</v>
      </c>
    </row>
    <row r="253" customFormat="false" ht="15" hidden="false" customHeight="false" outlineLevel="0" collapsed="false">
      <c r="A253" s="0" t="s">
        <v>31</v>
      </c>
      <c r="B253" s="0" t="n">
        <v>16</v>
      </c>
      <c r="C253" s="0" t="s">
        <v>39</v>
      </c>
      <c r="D253" s="0" t="s">
        <v>47</v>
      </c>
      <c r="E253" s="14" t="n">
        <v>42360</v>
      </c>
      <c r="F253" s="14" t="n">
        <v>41581</v>
      </c>
      <c r="G253" s="14" t="n">
        <v>-779</v>
      </c>
      <c r="H253" s="19" t="n">
        <v>-1.8</v>
      </c>
    </row>
    <row r="254" customFormat="false" ht="15" hidden="false" customHeight="false" outlineLevel="0" collapsed="false">
      <c r="A254" s="0" t="s">
        <v>31</v>
      </c>
      <c r="B254" s="0" t="n">
        <v>16</v>
      </c>
      <c r="C254" s="0" t="s">
        <v>40</v>
      </c>
      <c r="D254" s="0" t="s">
        <v>44</v>
      </c>
      <c r="E254" s="14" t="n">
        <v>105540</v>
      </c>
      <c r="F254" s="14" t="n">
        <v>103975</v>
      </c>
      <c r="G254" s="14" t="n">
        <v>-1565</v>
      </c>
      <c r="H254" s="19" t="n">
        <v>-1.5</v>
      </c>
    </row>
    <row r="255" customFormat="false" ht="15" hidden="false" customHeight="false" outlineLevel="0" collapsed="false">
      <c r="A255" s="0" t="s">
        <v>31</v>
      </c>
      <c r="B255" s="0" t="n">
        <v>16</v>
      </c>
      <c r="C255" s="0" t="s">
        <v>40</v>
      </c>
      <c r="D255" s="0" t="s">
        <v>45</v>
      </c>
      <c r="E255" s="14" t="n">
        <v>70360</v>
      </c>
      <c r="F255" s="14" t="n">
        <v>72828</v>
      </c>
      <c r="G255" s="14" t="n">
        <v>2468</v>
      </c>
      <c r="H255" s="19" t="n">
        <v>3.5</v>
      </c>
    </row>
    <row r="256" customFormat="false" ht="15" hidden="false" customHeight="false" outlineLevel="0" collapsed="false">
      <c r="A256" s="0" t="s">
        <v>31</v>
      </c>
      <c r="B256" s="0" t="n">
        <v>16</v>
      </c>
      <c r="C256" s="0" t="s">
        <v>40</v>
      </c>
      <c r="D256" s="0" t="s">
        <v>46</v>
      </c>
      <c r="E256" s="14" t="n">
        <v>45231</v>
      </c>
      <c r="F256" s="14" t="n">
        <v>45450</v>
      </c>
      <c r="G256" s="14" t="n">
        <v>219</v>
      </c>
      <c r="H256" s="19" t="n">
        <v>0.5</v>
      </c>
    </row>
    <row r="257" customFormat="false" ht="15" hidden="false" customHeight="false" outlineLevel="0" collapsed="false">
      <c r="A257" s="0" t="s">
        <v>31</v>
      </c>
      <c r="B257" s="0" t="n">
        <v>16</v>
      </c>
      <c r="C257" s="0" t="s">
        <v>40</v>
      </c>
      <c r="D257" s="0" t="s">
        <v>47</v>
      </c>
      <c r="E257" s="14" t="n">
        <v>30154</v>
      </c>
      <c r="F257" s="14" t="n">
        <v>32508</v>
      </c>
      <c r="G257" s="14" t="n">
        <v>2354</v>
      </c>
      <c r="H257" s="19" t="n">
        <v>7.8</v>
      </c>
    </row>
    <row r="258" customFormat="false" ht="15" hidden="false" customHeight="false" outlineLevel="0" collapsed="false">
      <c r="A258" s="0" t="s">
        <v>32</v>
      </c>
      <c r="B258" s="0" t="n">
        <v>17</v>
      </c>
      <c r="C258" s="0" t="s">
        <v>37</v>
      </c>
      <c r="D258" s="0" t="s">
        <v>44</v>
      </c>
      <c r="E258" s="14" t="n">
        <v>236344</v>
      </c>
      <c r="F258" s="14" t="n">
        <v>227493</v>
      </c>
      <c r="G258" s="14" t="n">
        <v>-8851</v>
      </c>
      <c r="H258" s="19" t="n">
        <v>-3.7</v>
      </c>
    </row>
    <row r="259" customFormat="false" ht="15" hidden="false" customHeight="false" outlineLevel="0" collapsed="false">
      <c r="A259" s="0" t="s">
        <v>32</v>
      </c>
      <c r="B259" s="0" t="n">
        <v>17</v>
      </c>
      <c r="C259" s="0" t="s">
        <v>37</v>
      </c>
      <c r="D259" s="0" t="s">
        <v>45</v>
      </c>
      <c r="E259" s="14" t="n">
        <v>157563</v>
      </c>
      <c r="F259" s="14" t="n">
        <v>145008</v>
      </c>
      <c r="G259" s="14" t="n">
        <v>-12555</v>
      </c>
      <c r="H259" s="19" t="n">
        <v>-8</v>
      </c>
    </row>
    <row r="260" customFormat="false" ht="15" hidden="false" customHeight="false" outlineLevel="0" collapsed="false">
      <c r="A260" s="0" t="s">
        <v>32</v>
      </c>
      <c r="B260" s="0" t="n">
        <v>17</v>
      </c>
      <c r="C260" s="0" t="s">
        <v>37</v>
      </c>
      <c r="D260" s="0" t="s">
        <v>46</v>
      </c>
      <c r="E260" s="14" t="n">
        <v>101290</v>
      </c>
      <c r="F260" s="14" t="n">
        <v>101136</v>
      </c>
      <c r="G260" s="14" t="n">
        <v>-154</v>
      </c>
      <c r="H260" s="19" t="n">
        <v>-0.2</v>
      </c>
    </row>
    <row r="261" customFormat="false" ht="15" hidden="false" customHeight="false" outlineLevel="0" collapsed="false">
      <c r="A261" s="0" t="s">
        <v>32</v>
      </c>
      <c r="B261" s="0" t="n">
        <v>17</v>
      </c>
      <c r="C261" s="0" t="s">
        <v>37</v>
      </c>
      <c r="D261" s="0" t="s">
        <v>47</v>
      </c>
      <c r="E261" s="14" t="n">
        <v>67527</v>
      </c>
      <c r="F261" s="14" t="n">
        <v>70922</v>
      </c>
      <c r="G261" s="14" t="n">
        <v>3395</v>
      </c>
      <c r="H261" s="19" t="n">
        <v>5</v>
      </c>
    </row>
    <row r="262" customFormat="false" ht="15" hidden="false" customHeight="false" outlineLevel="0" collapsed="false">
      <c r="A262" s="0" t="s">
        <v>32</v>
      </c>
      <c r="B262" s="0" t="n">
        <v>17</v>
      </c>
      <c r="C262" s="0" t="s">
        <v>38</v>
      </c>
      <c r="D262" s="0" t="s">
        <v>44</v>
      </c>
      <c r="E262" s="14" t="n">
        <v>167411</v>
      </c>
      <c r="F262" s="14" t="n">
        <v>184080</v>
      </c>
      <c r="G262" s="14" t="n">
        <v>16669</v>
      </c>
      <c r="H262" s="19" t="n">
        <v>10</v>
      </c>
    </row>
    <row r="263" customFormat="false" ht="15" hidden="false" customHeight="false" outlineLevel="0" collapsed="false">
      <c r="A263" s="0" t="s">
        <v>32</v>
      </c>
      <c r="B263" s="0" t="n">
        <v>17</v>
      </c>
      <c r="C263" s="0" t="s">
        <v>38</v>
      </c>
      <c r="D263" s="0" t="s">
        <v>45</v>
      </c>
      <c r="E263" s="14" t="n">
        <v>111607</v>
      </c>
      <c r="F263" s="14" t="n">
        <v>118874</v>
      </c>
      <c r="G263" s="14" t="n">
        <v>7267</v>
      </c>
      <c r="H263" s="19" t="n">
        <v>6.5</v>
      </c>
    </row>
    <row r="264" customFormat="false" ht="15" hidden="false" customHeight="false" outlineLevel="0" collapsed="false">
      <c r="A264" s="0" t="s">
        <v>32</v>
      </c>
      <c r="B264" s="0" t="n">
        <v>17</v>
      </c>
      <c r="C264" s="0" t="s">
        <v>38</v>
      </c>
      <c r="D264" s="0" t="s">
        <v>46</v>
      </c>
      <c r="E264" s="14" t="n">
        <v>71747</v>
      </c>
      <c r="F264" s="14" t="n">
        <v>61614</v>
      </c>
      <c r="G264" s="14" t="n">
        <v>-10133</v>
      </c>
      <c r="H264" s="19" t="n">
        <v>-14.1</v>
      </c>
    </row>
    <row r="265" customFormat="false" ht="15" hidden="false" customHeight="false" outlineLevel="0" collapsed="false">
      <c r="A265" s="0" t="s">
        <v>32</v>
      </c>
      <c r="B265" s="0" t="n">
        <v>17</v>
      </c>
      <c r="C265" s="0" t="s">
        <v>38</v>
      </c>
      <c r="D265" s="0" t="s">
        <v>47</v>
      </c>
      <c r="E265" s="14" t="n">
        <v>47832</v>
      </c>
      <c r="F265" s="14" t="n">
        <v>49274</v>
      </c>
      <c r="G265" s="14" t="n">
        <v>1442</v>
      </c>
      <c r="H265" s="19" t="n">
        <v>3</v>
      </c>
    </row>
    <row r="266" customFormat="false" ht="15" hidden="false" customHeight="false" outlineLevel="0" collapsed="false">
      <c r="A266" s="0" t="s">
        <v>32</v>
      </c>
      <c r="B266" s="0" t="n">
        <v>17</v>
      </c>
      <c r="C266" s="0" t="s">
        <v>39</v>
      </c>
      <c r="D266" s="0" t="s">
        <v>44</v>
      </c>
      <c r="E266" s="14" t="n">
        <v>145253</v>
      </c>
      <c r="F266" s="14" t="n">
        <v>162223</v>
      </c>
      <c r="G266" s="14" t="n">
        <v>16970</v>
      </c>
      <c r="H266" s="19" t="n">
        <v>11.7</v>
      </c>
    </row>
    <row r="267" customFormat="false" ht="15" hidden="false" customHeight="false" outlineLevel="0" collapsed="false">
      <c r="A267" s="0" t="s">
        <v>32</v>
      </c>
      <c r="B267" s="0" t="n">
        <v>17</v>
      </c>
      <c r="C267" s="0" t="s">
        <v>39</v>
      </c>
      <c r="D267" s="0" t="s">
        <v>45</v>
      </c>
      <c r="E267" s="14" t="n">
        <v>96836</v>
      </c>
      <c r="F267" s="14" t="n">
        <v>97320</v>
      </c>
      <c r="G267" s="14" t="n">
        <v>484</v>
      </c>
      <c r="H267" s="19" t="n">
        <v>0.5</v>
      </c>
    </row>
    <row r="268" customFormat="false" ht="15" hidden="false" customHeight="false" outlineLevel="0" collapsed="false">
      <c r="A268" s="0" t="s">
        <v>32</v>
      </c>
      <c r="B268" s="0" t="n">
        <v>17</v>
      </c>
      <c r="C268" s="0" t="s">
        <v>39</v>
      </c>
      <c r="D268" s="0" t="s">
        <v>46</v>
      </c>
      <c r="E268" s="14" t="n">
        <v>62251</v>
      </c>
      <c r="F268" s="14" t="n">
        <v>59681</v>
      </c>
      <c r="G268" s="14" t="n">
        <v>-2570</v>
      </c>
      <c r="H268" s="19" t="n">
        <v>-4.1</v>
      </c>
    </row>
    <row r="269" customFormat="false" ht="15" hidden="false" customHeight="false" outlineLevel="0" collapsed="false">
      <c r="A269" s="0" t="s">
        <v>32</v>
      </c>
      <c r="B269" s="0" t="n">
        <v>17</v>
      </c>
      <c r="C269" s="0" t="s">
        <v>39</v>
      </c>
      <c r="D269" s="0" t="s">
        <v>47</v>
      </c>
      <c r="E269" s="14" t="n">
        <v>41501</v>
      </c>
      <c r="F269" s="14" t="n">
        <v>42527</v>
      </c>
      <c r="G269" s="14" t="n">
        <v>1026</v>
      </c>
      <c r="H269" s="19" t="n">
        <v>2.5</v>
      </c>
    </row>
    <row r="270" customFormat="false" ht="15" hidden="false" customHeight="false" outlineLevel="0" collapsed="false">
      <c r="A270" s="0" t="s">
        <v>32</v>
      </c>
      <c r="B270" s="0" t="n">
        <v>17</v>
      </c>
      <c r="C270" s="0" t="s">
        <v>40</v>
      </c>
      <c r="D270" s="0" t="s">
        <v>44</v>
      </c>
      <c r="E270" s="14" t="n">
        <v>103401</v>
      </c>
      <c r="F270" s="14" t="n">
        <v>99238</v>
      </c>
      <c r="G270" s="14" t="n">
        <v>-4163</v>
      </c>
      <c r="H270" s="19" t="n">
        <v>-4</v>
      </c>
    </row>
    <row r="271" customFormat="false" ht="15" hidden="false" customHeight="false" outlineLevel="0" collapsed="false">
      <c r="A271" s="0" t="s">
        <v>32</v>
      </c>
      <c r="B271" s="0" t="n">
        <v>17</v>
      </c>
      <c r="C271" s="0" t="s">
        <v>40</v>
      </c>
      <c r="D271" s="0" t="s">
        <v>45</v>
      </c>
      <c r="E271" s="14" t="n">
        <v>68934</v>
      </c>
      <c r="F271" s="14" t="n">
        <v>72458</v>
      </c>
      <c r="G271" s="14" t="n">
        <v>3524</v>
      </c>
      <c r="H271" s="19" t="n">
        <v>5.1</v>
      </c>
    </row>
    <row r="272" customFormat="false" ht="15" hidden="false" customHeight="false" outlineLevel="0" collapsed="false">
      <c r="A272" s="0" t="s">
        <v>32</v>
      </c>
      <c r="B272" s="0" t="n">
        <v>17</v>
      </c>
      <c r="C272" s="0" t="s">
        <v>40</v>
      </c>
      <c r="D272" s="0" t="s">
        <v>46</v>
      </c>
      <c r="E272" s="14" t="n">
        <v>44315</v>
      </c>
      <c r="F272" s="14" t="n">
        <v>44269</v>
      </c>
      <c r="G272" s="14" t="n">
        <v>-46</v>
      </c>
      <c r="H272" s="19" t="n">
        <v>-0.1</v>
      </c>
    </row>
    <row r="273" customFormat="false" ht="15" hidden="false" customHeight="false" outlineLevel="0" collapsed="false">
      <c r="A273" s="0" t="s">
        <v>32</v>
      </c>
      <c r="B273" s="0" t="n">
        <v>17</v>
      </c>
      <c r="C273" s="0" t="s">
        <v>40</v>
      </c>
      <c r="D273" s="0" t="s">
        <v>47</v>
      </c>
      <c r="E273" s="14" t="n">
        <v>29543</v>
      </c>
      <c r="F273" s="14" t="n">
        <v>32835</v>
      </c>
      <c r="G273" s="14" t="n">
        <v>3292</v>
      </c>
      <c r="H273" s="19" t="n">
        <v>11.1</v>
      </c>
    </row>
    <row r="274" customFormat="false" ht="15" hidden="false" customHeight="false" outlineLevel="0" collapsed="false">
      <c r="A274" s="0" t="s">
        <v>33</v>
      </c>
      <c r="B274" s="0" t="n">
        <v>18</v>
      </c>
      <c r="C274" s="0" t="s">
        <v>37</v>
      </c>
      <c r="D274" s="0" t="s">
        <v>44</v>
      </c>
      <c r="E274" s="14" t="n">
        <v>228093</v>
      </c>
      <c r="F274" s="14" t="n">
        <v>237208</v>
      </c>
      <c r="G274" s="14" t="n">
        <v>9115</v>
      </c>
      <c r="H274" s="19" t="n">
        <v>4</v>
      </c>
    </row>
    <row r="275" customFormat="false" ht="15" hidden="false" customHeight="false" outlineLevel="0" collapsed="false">
      <c r="A275" s="0" t="s">
        <v>33</v>
      </c>
      <c r="B275" s="0" t="n">
        <v>18</v>
      </c>
      <c r="C275" s="0" t="s">
        <v>37</v>
      </c>
      <c r="D275" s="0" t="s">
        <v>45</v>
      </c>
      <c r="E275" s="14" t="n">
        <v>152062</v>
      </c>
      <c r="F275" s="14" t="n">
        <v>143256</v>
      </c>
      <c r="G275" s="14" t="n">
        <v>-8806</v>
      </c>
      <c r="H275" s="19" t="n">
        <v>-5.8</v>
      </c>
    </row>
    <row r="276" customFormat="false" ht="15" hidden="false" customHeight="false" outlineLevel="0" collapsed="false">
      <c r="A276" s="0" t="s">
        <v>33</v>
      </c>
      <c r="B276" s="0" t="n">
        <v>18</v>
      </c>
      <c r="C276" s="0" t="s">
        <v>37</v>
      </c>
      <c r="D276" s="0" t="s">
        <v>46</v>
      </c>
      <c r="E276" s="14" t="n">
        <v>97754</v>
      </c>
      <c r="F276" s="14" t="n">
        <v>102483</v>
      </c>
      <c r="G276" s="14" t="n">
        <v>4729</v>
      </c>
      <c r="H276" s="19" t="n">
        <v>4.8</v>
      </c>
    </row>
    <row r="277" customFormat="false" ht="15" hidden="false" customHeight="false" outlineLevel="0" collapsed="false">
      <c r="A277" s="0" t="s">
        <v>33</v>
      </c>
      <c r="B277" s="0" t="n">
        <v>18</v>
      </c>
      <c r="C277" s="0" t="s">
        <v>37</v>
      </c>
      <c r="D277" s="0" t="s">
        <v>47</v>
      </c>
      <c r="E277" s="14" t="n">
        <v>65170</v>
      </c>
      <c r="F277" s="14" t="n">
        <v>70050</v>
      </c>
      <c r="G277" s="14" t="n">
        <v>4880</v>
      </c>
      <c r="H277" s="19" t="n">
        <v>7.5</v>
      </c>
    </row>
    <row r="278" customFormat="false" ht="15" hidden="false" customHeight="false" outlineLevel="0" collapsed="false">
      <c r="A278" s="0" t="s">
        <v>33</v>
      </c>
      <c r="B278" s="0" t="n">
        <v>18</v>
      </c>
      <c r="C278" s="0" t="s">
        <v>38</v>
      </c>
      <c r="D278" s="0" t="s">
        <v>44</v>
      </c>
      <c r="E278" s="14" t="n">
        <v>161566</v>
      </c>
      <c r="F278" s="14" t="n">
        <v>154219</v>
      </c>
      <c r="G278" s="14" t="n">
        <v>-7347</v>
      </c>
      <c r="H278" s="19" t="n">
        <v>-4.5</v>
      </c>
    </row>
    <row r="279" customFormat="false" ht="15" hidden="false" customHeight="false" outlineLevel="0" collapsed="false">
      <c r="A279" s="0" t="s">
        <v>33</v>
      </c>
      <c r="B279" s="0" t="n">
        <v>18</v>
      </c>
      <c r="C279" s="0" t="s">
        <v>38</v>
      </c>
      <c r="D279" s="0" t="s">
        <v>45</v>
      </c>
      <c r="E279" s="14" t="n">
        <v>107711</v>
      </c>
      <c r="F279" s="14" t="n">
        <v>104042</v>
      </c>
      <c r="G279" s="14" t="n">
        <v>-3669</v>
      </c>
      <c r="H279" s="19" t="n">
        <v>-3.4</v>
      </c>
    </row>
    <row r="280" customFormat="false" ht="15" hidden="false" customHeight="false" outlineLevel="0" collapsed="false">
      <c r="A280" s="0" t="s">
        <v>33</v>
      </c>
      <c r="B280" s="0" t="n">
        <v>18</v>
      </c>
      <c r="C280" s="0" t="s">
        <v>38</v>
      </c>
      <c r="D280" s="0" t="s">
        <v>46</v>
      </c>
      <c r="E280" s="14" t="n">
        <v>69243</v>
      </c>
      <c r="F280" s="14" t="n">
        <v>56473</v>
      </c>
      <c r="G280" s="14" t="n">
        <v>-12770</v>
      </c>
      <c r="H280" s="19" t="n">
        <v>-18.4</v>
      </c>
    </row>
    <row r="281" customFormat="false" ht="15" hidden="false" customHeight="false" outlineLevel="0" collapsed="false">
      <c r="A281" s="0" t="s">
        <v>33</v>
      </c>
      <c r="B281" s="0" t="n">
        <v>18</v>
      </c>
      <c r="C281" s="0" t="s">
        <v>38</v>
      </c>
      <c r="D281" s="0" t="s">
        <v>47</v>
      </c>
      <c r="E281" s="14" t="n">
        <v>46162</v>
      </c>
      <c r="F281" s="14" t="n">
        <v>49498</v>
      </c>
      <c r="G281" s="14" t="n">
        <v>3336</v>
      </c>
      <c r="H281" s="19" t="n">
        <v>7.2</v>
      </c>
    </row>
    <row r="282" customFormat="false" ht="15" hidden="false" customHeight="false" outlineLevel="0" collapsed="false">
      <c r="A282" s="0" t="s">
        <v>33</v>
      </c>
      <c r="B282" s="0" t="n">
        <v>18</v>
      </c>
      <c r="C282" s="0" t="s">
        <v>39</v>
      </c>
      <c r="D282" s="0" t="s">
        <v>44</v>
      </c>
      <c r="E282" s="14" t="n">
        <v>140182</v>
      </c>
      <c r="F282" s="14" t="n">
        <v>133591</v>
      </c>
      <c r="G282" s="14" t="n">
        <v>-6591</v>
      </c>
      <c r="H282" s="19" t="n">
        <v>-4.7</v>
      </c>
    </row>
    <row r="283" customFormat="false" ht="15" hidden="false" customHeight="false" outlineLevel="0" collapsed="false">
      <c r="A283" s="0" t="s">
        <v>33</v>
      </c>
      <c r="B283" s="0" t="n">
        <v>18</v>
      </c>
      <c r="C283" s="0" t="s">
        <v>39</v>
      </c>
      <c r="D283" s="0" t="s">
        <v>45</v>
      </c>
      <c r="E283" s="14" t="n">
        <v>93455</v>
      </c>
      <c r="F283" s="14" t="n">
        <v>77587</v>
      </c>
      <c r="G283" s="14" t="n">
        <v>-15868</v>
      </c>
      <c r="H283" s="19" t="n">
        <v>-17</v>
      </c>
    </row>
    <row r="284" customFormat="false" ht="15" hidden="false" customHeight="false" outlineLevel="0" collapsed="false">
      <c r="A284" s="0" t="s">
        <v>33</v>
      </c>
      <c r="B284" s="0" t="n">
        <v>18</v>
      </c>
      <c r="C284" s="0" t="s">
        <v>39</v>
      </c>
      <c r="D284" s="0" t="s">
        <v>46</v>
      </c>
      <c r="E284" s="14" t="n">
        <v>60078</v>
      </c>
      <c r="F284" s="14" t="n">
        <v>51577</v>
      </c>
      <c r="G284" s="14" t="n">
        <v>-8501</v>
      </c>
      <c r="H284" s="19" t="n">
        <v>-14.1</v>
      </c>
    </row>
    <row r="285" customFormat="false" ht="15" hidden="false" customHeight="false" outlineLevel="0" collapsed="false">
      <c r="A285" s="0" t="s">
        <v>33</v>
      </c>
      <c r="B285" s="0" t="n">
        <v>18</v>
      </c>
      <c r="C285" s="0" t="s">
        <v>39</v>
      </c>
      <c r="D285" s="0" t="s">
        <v>47</v>
      </c>
      <c r="E285" s="14" t="n">
        <v>40052</v>
      </c>
      <c r="F285" s="14" t="n">
        <v>39338</v>
      </c>
      <c r="G285" s="14" t="n">
        <v>-714</v>
      </c>
      <c r="H285" s="19" t="n">
        <v>-1.8</v>
      </c>
    </row>
    <row r="286" customFormat="false" ht="15" hidden="false" customHeight="false" outlineLevel="0" collapsed="false">
      <c r="A286" s="0" t="s">
        <v>33</v>
      </c>
      <c r="B286" s="0" t="n">
        <v>18</v>
      </c>
      <c r="C286" s="0" t="s">
        <v>40</v>
      </c>
      <c r="D286" s="0" t="s">
        <v>44</v>
      </c>
      <c r="E286" s="14" t="n">
        <v>99791</v>
      </c>
      <c r="F286" s="14" t="n">
        <v>105863</v>
      </c>
      <c r="G286" s="14" t="n">
        <v>6072</v>
      </c>
      <c r="H286" s="19" t="n">
        <v>6.1</v>
      </c>
    </row>
    <row r="287" customFormat="false" ht="15" hidden="false" customHeight="false" outlineLevel="0" collapsed="false">
      <c r="A287" s="0" t="s">
        <v>33</v>
      </c>
      <c r="B287" s="0" t="n">
        <v>18</v>
      </c>
      <c r="C287" s="0" t="s">
        <v>40</v>
      </c>
      <c r="D287" s="0" t="s">
        <v>45</v>
      </c>
      <c r="E287" s="14" t="n">
        <v>66527</v>
      </c>
      <c r="F287" s="14" t="n">
        <v>66053</v>
      </c>
      <c r="G287" s="14" t="n">
        <v>-474</v>
      </c>
      <c r="H287" s="19" t="n">
        <v>-0.7</v>
      </c>
    </row>
    <row r="288" customFormat="false" ht="15" hidden="false" customHeight="false" outlineLevel="0" collapsed="false">
      <c r="A288" s="0" t="s">
        <v>33</v>
      </c>
      <c r="B288" s="0" t="n">
        <v>18</v>
      </c>
      <c r="C288" s="0" t="s">
        <v>40</v>
      </c>
      <c r="D288" s="0" t="s">
        <v>46</v>
      </c>
      <c r="E288" s="14" t="n">
        <v>42768</v>
      </c>
      <c r="F288" s="14" t="n">
        <v>44382</v>
      </c>
      <c r="G288" s="14" t="n">
        <v>1614</v>
      </c>
      <c r="H288" s="19" t="n">
        <v>3.8</v>
      </c>
    </row>
    <row r="289" customFormat="false" ht="15" hidden="false" customHeight="false" outlineLevel="0" collapsed="false">
      <c r="A289" s="0" t="s">
        <v>33</v>
      </c>
      <c r="B289" s="0" t="n">
        <v>18</v>
      </c>
      <c r="C289" s="0" t="s">
        <v>40</v>
      </c>
      <c r="D289" s="0" t="s">
        <v>47</v>
      </c>
      <c r="E289" s="14" t="n">
        <v>28512</v>
      </c>
      <c r="F289" s="14" t="n">
        <v>25999</v>
      </c>
      <c r="G289" s="14" t="n">
        <v>-2513</v>
      </c>
      <c r="H289" s="19" t="n">
        <v>-8.8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2026-07-04T16:36:03Z</dcterms:created>
  <dc:creator>openpyxl</dc:creator>
  <dc:description/>
  <dc:language>en-US</dc:language>
  <cp:lastModifiedBy/>
  <dcterms:modified xsi:type="dcterms:W3CDTF">2026-07-04T16:36:10Z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