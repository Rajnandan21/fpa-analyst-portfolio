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<sst xmlns="http://schemas.openxmlformats.org/spreadsheetml/2006/main" count="778" uniqueCount="62">
  <si>
    <t xml:space="preserve">BUDGET vs ACTUAL FP&amp;A DASHBOARD</t>
  </si>
  <si>
    <t xml:space="preserve">Monthly Variance Analysis | Revenue &amp; Expense Tracking | Forecast Accuracy — Rajnandan Basu</t>
  </si>
  <si>
    <t xml:space="preserve">Month Filter</t>
  </si>
  <si>
    <t xml:space="preserve">All</t>
  </si>
  <si>
    <t xml:space="preserve">MonthCrit</t>
  </si>
  <si>
    <t xml:space="preserve">Select a month above, or "All" for full-period totals — KPIs update automatically.</t>
  </si>
  <si>
    <t xml:space="preserve">Revenue: Budget</t>
  </si>
  <si>
    <t xml:space="preserve">Revenue: Actual</t>
  </si>
  <si>
    <t xml:space="preserve">Revenue Variance %</t>
  </si>
  <si>
    <t xml:space="preserve">Forecast Accuracy % (Full Period)</t>
  </si>
  <si>
    <t xml:space="preserve">Expense: Budget</t>
  </si>
  <si>
    <t xml:space="preserve">Expense: Actual</t>
  </si>
  <si>
    <t xml:space="preserve">Expense Variance %</t>
  </si>
  <si>
    <t xml:space="preserve">Net Variance (£)</t>
  </si>
  <si>
    <t xml:space="preserve">MONTHLY REVENUE: BUDGET vs ACTUAL</t>
  </si>
  <si>
    <t xml:space="preserve">Month</t>
  </si>
  <si>
    <t xml:space="preserve">Budget</t>
  </si>
  <si>
    <t xml:space="preserve">Actual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</si>
  <si>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</si>
  <si>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</si>
  <si>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</si>
  <si>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</si>
  <si>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</si>
  <si>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</si>
  <si>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</si>
  <si>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</si>
  <si>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</si>
  <si>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</si>
  <si>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</si>
  <si>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</si>
  <si>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</si>
  <si>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</si>
  <si>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</si>
  <si>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</si>
  <si>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</si>
  <si>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</si>
  <si>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</si>
  <si>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</si>
  <si>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</si>
  <si>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</si>
  <si>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</si>
  <si>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</si>
  <si>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MONTHLY EXPENSE: BUDGET vs ACTUAL</t>
  </si>
  <si>
    <t xml:space="preserve">FORECAST ACCURACY TRACKING (Revenue, by month)</t>
  </si>
  <si>
    <t xml:space="preserve">Forecast</t>
  </si>
  <si>
    <t xml:space="preserve">Accuracy %</t>
  </si>
  <si>
    <t xml:space="preserve">VARIANCE BY CATEGORY (Full Period)</t>
  </si>
  <si>
    <t xml:space="preserve">Category</t>
  </si>
  <si>
    <t xml:space="preserve">Type</t>
  </si>
  <si>
    <t xml:space="preserve">Variance %</t>
  </si>
  <si>
    <t xml:space="preserve">Retail Sales</t>
  </si>
  <si>
    <t xml:space="preserve">Revenue</t>
  </si>
  <si>
    <t xml:space="preserve">Wholesale</t>
  </si>
  <si>
    <t xml:space="preserve">Online Sales</t>
  </si>
  <si>
    <t xml:space="preserve">Foodservice</t>
  </si>
  <si>
    <t xml:space="preserve">Cost of Goods Sold</t>
  </si>
  <si>
    <t xml:space="preserve">Expense</t>
  </si>
  <si>
    <t xml:space="preserve">Payroll</t>
  </si>
  <si>
    <t xml:space="preserve">Marketing</t>
  </si>
  <si>
    <t xml:space="preserve">Logistics &amp; Distribution</t>
  </si>
  <si>
    <t xml:space="preserve">Admin &amp; Overheads</t>
  </si>
  <si>
    <t xml:space="preserve">MonthIndex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</si>
</sst>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CCCCCC"/>
      <name val="Cambria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AF1FA"/>
        <bgColor rgb="FFFFFFFF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78787"/>
      <rgbColor rgb="FF9999FF"/>
      <rgbColor rgb="FF7030A0"/>
      <rgbColor rgb="FFFFFFCC"/>
      <rgbColor rgb="FFEAF1FA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1f4e78"/>
            </a:solidFill>
            <a:ln w="21960">
              <a:solidFill>
                <a:srgbClr val="1f4e78"/>
              </a:solidFill>
              <a:round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Dashboard!$B$17:$B$40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Dashboard!$C$17:$C$40</c:f>
              <c:numCache>
                <c:formatCode>\£#,##0;"(£"#,##0\);\-</c:formatCode>
                <c:ptCount val="24"/>
                <c:pt idx="0">
                  <c:v>1177188</c:v>
                </c:pt>
                <c:pt idx="1">
                  <c:v>1224796</c:v>
                </c:pt>
                <c:pt idx="2">
                  <c:v>1254585</c:v>
                </c:pt>
                <c:pt idx="3">
                  <c:v>1260173</c:v>
                </c:pt>
                <c:pt idx="4">
                  <c:v>1241622</c:v>
                </c:pt>
                <c:pt idx="5">
                  <c:v>1205512</c:v>
                </c:pt>
                <c:pt idx="6">
                  <c:v>1163233</c:v>
                </c:pt>
                <c:pt idx="7">
                  <c:v>1127975</c:v>
                </c:pt>
                <c:pt idx="8">
                  <c:v>1111185</c:v>
                </c:pt>
                <c:pt idx="9">
                  <c:v>1119463</c:v>
                </c:pt>
                <c:pt idx="10">
                  <c:v>1152727</c:v>
                </c:pt>
                <c:pt idx="11">
                  <c:v>1204154</c:v>
                </c:pt>
                <c:pt idx="12">
                  <c:v>1261945</c:v>
                </c:pt>
                <c:pt idx="13">
                  <c:v>1312455</c:v>
                </c:pt>
                <c:pt idx="14">
                  <c:v>1343846</c:v>
                </c:pt>
                <c:pt idx="15">
                  <c:v>1349302</c:v>
                </c:pt>
                <c:pt idx="16">
                  <c:v>1328924</c:v>
                </c:pt>
                <c:pt idx="17">
                  <c:v>1289781</c:v>
                </c:pt>
                <c:pt idx="18">
                  <c:v>1244076</c:v>
                </c:pt>
                <c:pt idx="19">
                  <c:v>1205916</c:v>
                </c:pt>
                <c:pt idx="20">
                  <c:v>1187525</c:v>
                </c:pt>
                <c:pt idx="21">
                  <c:v>1195935</c:v>
                </c:pt>
                <c:pt idx="22">
                  <c:v>1231025</c:v>
                </c:pt>
                <c:pt idx="23">
                  <c:v>1285485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Dashboard!D16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Dashboard!$B$17:$B$40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Dashboard!$D$17:$D$40</c:f>
              <c:numCache>
                <c:formatCode>\£#,##0;"(£"#,##0\);\-</c:formatCode>
                <c:ptCount val="24"/>
                <c:pt idx="0">
                  <c:v>1208440</c:v>
                </c:pt>
                <c:pt idx="1">
                  <c:v>1131243</c:v>
                </c:pt>
                <c:pt idx="2">
                  <c:v>1259931</c:v>
                </c:pt>
                <c:pt idx="3">
                  <c:v>1213401</c:v>
                </c:pt>
                <c:pt idx="4">
                  <c:v>1239122</c:v>
                </c:pt>
                <c:pt idx="5">
                  <c:v>1188400</c:v>
                </c:pt>
                <c:pt idx="6">
                  <c:v>1094606</c:v>
                </c:pt>
                <c:pt idx="7">
                  <c:v>1037319</c:v>
                </c:pt>
                <c:pt idx="8">
                  <c:v>1151756</c:v>
                </c:pt>
                <c:pt idx="9">
                  <c:v>1084481</c:v>
                </c:pt>
                <c:pt idx="10">
                  <c:v>1111088</c:v>
                </c:pt>
                <c:pt idx="11">
                  <c:v>1296100</c:v>
                </c:pt>
                <c:pt idx="12">
                  <c:v>1291383</c:v>
                </c:pt>
                <c:pt idx="13">
                  <c:v>1379903</c:v>
                </c:pt>
                <c:pt idx="14">
                  <c:v>1326208</c:v>
                </c:pt>
                <c:pt idx="15">
                  <c:v>1437707</c:v>
                </c:pt>
                <c:pt idx="16">
                  <c:v>1292078</c:v>
                </c:pt>
                <c:pt idx="17">
                  <c:v>1310101</c:v>
                </c:pt>
                <c:pt idx="18">
                  <c:v>1279890</c:v>
                </c:pt>
                <c:pt idx="19">
                  <c:v>1250876</c:v>
                </c:pt>
                <c:pt idx="20">
                  <c:v>1096363</c:v>
                </c:pt>
                <c:pt idx="21">
                  <c:v>1208719</c:v>
                </c:pt>
                <c:pt idx="22">
                  <c:v>1311042</c:v>
                </c:pt>
                <c:pt idx="23">
                  <c:v>1285152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258322"/>
        <c:axId val="86110319"/>
      </c:lineChart>
      <c:catAx>
        <c:axId val="24258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10319"/>
        <c:crosses val="autoZero"/>
        <c:auto val="1"/>
        <c:lblAlgn val="ctr"/>
        <c:lblOffset val="100"/>
        <c:noMultiLvlLbl val="0"/>
      </c:catAx>
      <c:valAx>
        <c:axId val="86110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58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Expense: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Dashboard!C44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5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Dashboard!$B$45:$B$68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Dashboard!$C$45:$C$68</c:f>
              <c:numCache>
                <c:formatCode>\£#,##0;"(£"#,##0\);\-</c:formatCode>
                <c:ptCount val="24"/>
                <c:pt idx="0">
                  <c:v>1131124</c:v>
                </c:pt>
                <c:pt idx="1">
                  <c:v>1176870</c:v>
                </c:pt>
                <c:pt idx="2">
                  <c:v>1205494</c:v>
                </c:pt>
                <c:pt idx="3">
                  <c:v>1210862</c:v>
                </c:pt>
                <c:pt idx="4">
                  <c:v>1193038</c:v>
                </c:pt>
                <c:pt idx="5">
                  <c:v>1158340</c:v>
                </c:pt>
                <c:pt idx="6">
                  <c:v>1117716</c:v>
                </c:pt>
                <c:pt idx="7">
                  <c:v>1083837</c:v>
                </c:pt>
                <c:pt idx="8">
                  <c:v>1067703</c:v>
                </c:pt>
                <c:pt idx="9">
                  <c:v>1075658</c:v>
                </c:pt>
                <c:pt idx="10">
                  <c:v>1107619</c:v>
                </c:pt>
                <c:pt idx="11">
                  <c:v>1157035</c:v>
                </c:pt>
                <c:pt idx="12">
                  <c:v>1212565</c:v>
                </c:pt>
                <c:pt idx="13">
                  <c:v>1261098</c:v>
                </c:pt>
                <c:pt idx="14">
                  <c:v>1291260</c:v>
                </c:pt>
                <c:pt idx="15">
                  <c:v>1296502</c:v>
                </c:pt>
                <c:pt idx="16">
                  <c:v>1276923</c:v>
                </c:pt>
                <c:pt idx="17">
                  <c:v>1239312</c:v>
                </c:pt>
                <c:pt idx="18">
                  <c:v>1195393</c:v>
                </c:pt>
                <c:pt idx="19">
                  <c:v>1158726</c:v>
                </c:pt>
                <c:pt idx="20">
                  <c:v>1141057</c:v>
                </c:pt>
                <c:pt idx="21">
                  <c:v>1149137</c:v>
                </c:pt>
                <c:pt idx="22">
                  <c:v>1182855</c:v>
                </c:pt>
                <c:pt idx="23">
                  <c:v>1235183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Dashboard!D44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Dashboard!$B$45:$B$68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Dashboard!$D$45:$D$68</c:f>
              <c:numCache>
                <c:formatCode>\£#,##0;"(£"#,##0\);\-</c:formatCode>
                <c:ptCount val="24"/>
                <c:pt idx="0">
                  <c:v>1178140</c:v>
                </c:pt>
                <c:pt idx="1">
                  <c:v>1196035</c:v>
                </c:pt>
                <c:pt idx="2">
                  <c:v>1242149</c:v>
                </c:pt>
                <c:pt idx="3">
                  <c:v>1192454</c:v>
                </c:pt>
                <c:pt idx="4">
                  <c:v>1208683</c:v>
                </c:pt>
                <c:pt idx="5">
                  <c:v>1089801</c:v>
                </c:pt>
                <c:pt idx="6">
                  <c:v>1069997</c:v>
                </c:pt>
                <c:pt idx="7">
                  <c:v>1118043</c:v>
                </c:pt>
                <c:pt idx="8">
                  <c:v>1144099</c:v>
                </c:pt>
                <c:pt idx="9">
                  <c:v>1074619</c:v>
                </c:pt>
                <c:pt idx="10">
                  <c:v>1086275</c:v>
                </c:pt>
                <c:pt idx="11">
                  <c:v>1191565</c:v>
                </c:pt>
                <c:pt idx="12">
                  <c:v>1199969</c:v>
                </c:pt>
                <c:pt idx="13">
                  <c:v>1261915</c:v>
                </c:pt>
                <c:pt idx="14">
                  <c:v>1232050</c:v>
                </c:pt>
                <c:pt idx="15">
                  <c:v>1261160</c:v>
                </c:pt>
                <c:pt idx="16">
                  <c:v>1327237</c:v>
                </c:pt>
                <c:pt idx="17">
                  <c:v>1207249</c:v>
                </c:pt>
                <c:pt idx="18">
                  <c:v>1226762</c:v>
                </c:pt>
                <c:pt idx="19">
                  <c:v>1110361</c:v>
                </c:pt>
                <c:pt idx="20">
                  <c:v>1088044</c:v>
                </c:pt>
                <c:pt idx="21">
                  <c:v>1210982</c:v>
                </c:pt>
                <c:pt idx="22">
                  <c:v>1118261</c:v>
                </c:pt>
                <c:pt idx="23">
                  <c:v>1266155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271047"/>
        <c:axId val="30311243"/>
      </c:lineChart>
      <c:catAx>
        <c:axId val="46271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11243"/>
        <c:crosses val="autoZero"/>
        <c:auto val="1"/>
        <c:lblAlgn val="ctr"/>
        <c:lblOffset val="100"/>
        <c:noMultiLvlLbl val="0"/>
      </c:catAx>
      <c:valAx>
        <c:axId val="30311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71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Accuracy % Trend (Revenue)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Dashboard!E72</c:f>
              <c:strCache>
                <c:ptCount val="1"/>
                <c:pt idx="0">
                  <c:v>Accuracy %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Dashboard!$B$73:$B$96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Dashboard!$E$73:$E$96</c:f>
              <c:numCache>
                <c:formatCode>0.0%;\(0.0%\);\-</c:formatCode>
                <c:ptCount val="24"/>
                <c:pt idx="0">
                  <c:v>0.965879977491642</c:v>
                </c:pt>
                <c:pt idx="1">
                  <c:v>0.972914749527732</c:v>
                </c:pt>
                <c:pt idx="2">
                  <c:v>0.967758551857205</c:v>
                </c:pt>
                <c:pt idx="3">
                  <c:v>0.950819226290402</c:v>
                </c:pt>
                <c:pt idx="4">
                  <c:v>0.969329089468188</c:v>
                </c:pt>
                <c:pt idx="5">
                  <c:v>0.981812521036688</c:v>
                </c:pt>
                <c:pt idx="6">
                  <c:v>0.973215933404348</c:v>
                </c:pt>
                <c:pt idx="7">
                  <c:v>0.990819603227165</c:v>
                </c:pt>
                <c:pt idx="8">
                  <c:v>0.991115305672382</c:v>
                </c:pt>
                <c:pt idx="9">
                  <c:v>0.976412680351246</c:v>
                </c:pt>
                <c:pt idx="10">
                  <c:v>0.997749053180306</c:v>
                </c:pt>
                <c:pt idx="11">
                  <c:v>0.989722243654039</c:v>
                </c:pt>
                <c:pt idx="12">
                  <c:v>0.974930752534299</c:v>
                </c:pt>
                <c:pt idx="13">
                  <c:v>0.970955929510987</c:v>
                </c:pt>
                <c:pt idx="14">
                  <c:v>0.989144236801467</c:v>
                </c:pt>
                <c:pt idx="15">
                  <c:v>0.970967658917985</c:v>
                </c:pt>
                <c:pt idx="16">
                  <c:v>0.98865083996477</c:v>
                </c:pt>
                <c:pt idx="17">
                  <c:v>0.993784448679911</c:v>
                </c:pt>
                <c:pt idx="18">
                  <c:v>0.947264218018736</c:v>
                </c:pt>
                <c:pt idx="19">
                  <c:v>0.995344862320486</c:v>
                </c:pt>
                <c:pt idx="20">
                  <c:v>0.988422630096054</c:v>
                </c:pt>
                <c:pt idx="21">
                  <c:v>0.972019964938087</c:v>
                </c:pt>
                <c:pt idx="22">
                  <c:v>0.989735645387409</c:v>
                </c:pt>
                <c:pt idx="23">
                  <c:v>0.959618784392819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668520"/>
        <c:axId val="94297096"/>
      </c:lineChart>
      <c:catAx>
        <c:axId val="5966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97096"/>
        <c:crosses val="autoZero"/>
        <c:auto val="1"/>
        <c:lblAlgn val="ctr"/>
        <c:lblOffset val="100"/>
        <c:noMultiLvlLbl val="0"/>
      </c:catAx>
      <c:valAx>
        <c:axId val="94297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Accuracy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68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101160</xdr:rowOff>
    </xdr:from>
    <xdr:to>
      <xdr:col>12</xdr:col>
      <xdr:colOff>277200</xdr:colOff>
      <xdr:row>28</xdr:row>
      <xdr:rowOff>123120</xdr:rowOff>
    </xdr:to>
    <xdr:graphicFrame>
      <xdr:nvGraphicFramePr>
        <xdr:cNvPr id="0" name="Chart 1"/>
        <xdr:cNvGraphicFramePr/>
      </xdr:nvGraphicFramePr>
      <xdr:xfrm>
        <a:off x="4158720" y="299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41</xdr:row>
      <xdr:rowOff>101160</xdr:rowOff>
    </xdr:from>
    <xdr:to>
      <xdr:col>12</xdr:col>
      <xdr:colOff>277200</xdr:colOff>
      <xdr:row>56</xdr:row>
      <xdr:rowOff>123120</xdr:rowOff>
    </xdr:to>
    <xdr:graphicFrame>
      <xdr:nvGraphicFramePr>
        <xdr:cNvPr id="1" name="Chart 2"/>
        <xdr:cNvGraphicFramePr/>
      </xdr:nvGraphicFramePr>
      <xdr:xfrm>
        <a:off x="4158720" y="8325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69</xdr:row>
      <xdr:rowOff>100800</xdr:rowOff>
    </xdr:from>
    <xdr:to>
      <xdr:col>12</xdr:col>
      <xdr:colOff>277200</xdr:colOff>
      <xdr:row>84</xdr:row>
      <xdr:rowOff>123120</xdr:rowOff>
    </xdr:to>
    <xdr:graphicFrame>
      <xdr:nvGraphicFramePr>
        <xdr:cNvPr id="2" name="Chart 3"/>
        <xdr:cNvGraphicFramePr/>
      </xdr:nvGraphicFramePr>
      <xdr:xfrm>
        <a:off x="4158720" y="136587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7" min="7" style="0" width="4"/>
    <col collapsed="false" customWidth="true" hidden="false" outlineLevel="0" max="9" min="8" style="0" width="16"/>
    <col collapsed="false" customWidth="true" hidden="false" outlineLevel="0" max="10" min="10" style="0" width="4"/>
    <col collapsed="false" customWidth="true" hidden="false" outlineLevel="0" max="12" min="11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H5" s="5" t="s">
        <v>4</v>
      </c>
      <c r="I5" s="0" t="str">
        <f aca="false">IF(C5="All","*",C5)</f>
        <v>*</v>
      </c>
    </row>
    <row r="6" customFormat="false" ht="15" hidden="false" customHeight="false" outlineLevel="0" collapsed="false">
      <c r="B6" s="6" t="s">
        <v>5</v>
      </c>
    </row>
    <row r="8" customFormat="false" ht="15" hidden="false" customHeight="false" outlineLevel="0" collapsed="false">
      <c r="B8" s="7" t="s">
        <v>6</v>
      </c>
      <c r="C8" s="7"/>
      <c r="E8" s="7" t="s">
        <v>7</v>
      </c>
      <c r="F8" s="7"/>
      <c r="H8" s="7" t="s">
        <v>8</v>
      </c>
      <c r="I8" s="7"/>
      <c r="K8" s="7" t="s">
        <v>9</v>
      </c>
      <c r="L8" s="7"/>
    </row>
    <row r="9" customFormat="false" ht="27.75" hidden="false" customHeight="true" outlineLevel="0" collapsed="false">
      <c r="B9" s="8" t="n">
        <f aca="false">SUMIFS(Data!$E:$E,Data!$A:$A,$I$5,Data!$C:$C,"Revenue")</f>
        <v>29478828</v>
      </c>
      <c r="C9" s="8"/>
      <c r="E9" s="8" t="n">
        <f aca="false">SUMIFS(Data!$F:$F,Data!$A:$A,$I$5,Data!$C:$C,"Revenue")</f>
        <v>29485309</v>
      </c>
      <c r="F9" s="8"/>
      <c r="H9" s="9" t="n">
        <f aca="false">IFERROR((E9-B9)/B9,0)</f>
        <v>0.00021985270242087</v>
      </c>
      <c r="I9" s="9"/>
      <c r="K9" s="9" t="n">
        <f aca="false">1-SUMPRODUCT(ABS(Data!$G$2:$G$217-Data!$F$2:$F$217)*(Data!$C$2:$C$217="Revenue"))/SUMIFS(Data!$F:$F,Data!$C:$C,"Revenue")</f>
        <v>0.960513556089916</v>
      </c>
      <c r="L9" s="9"/>
    </row>
    <row r="11" customFormat="false" ht="15" hidden="false" customHeight="false" outlineLevel="0" collapsed="false">
      <c r="B11" s="7" t="s">
        <v>10</v>
      </c>
      <c r="C11" s="7"/>
      <c r="E11" s="7" t="s">
        <v>11</v>
      </c>
      <c r="F11" s="7"/>
      <c r="H11" s="7" t="s">
        <v>12</v>
      </c>
      <c r="I11" s="7"/>
      <c r="K11" s="7" t="s">
        <v>13</v>
      </c>
      <c r="L11" s="7"/>
    </row>
    <row r="12" customFormat="false" ht="27.75" hidden="false" customHeight="true" outlineLevel="0" collapsed="false">
      <c r="B12" s="8" t="n">
        <f aca="false">SUMIFS(Data!$E:$E,Data!$A:$A,$I$5,Data!$C:$C,"Expense")</f>
        <v>28325307</v>
      </c>
      <c r="C12" s="8"/>
      <c r="E12" s="8" t="n">
        <f aca="false">SUMIFS(Data!$F:$F,Data!$A:$A,$I$5,Data!$C:$C,"Expense")</f>
        <v>28302005</v>
      </c>
      <c r="F12" s="8"/>
      <c r="H12" s="9" t="n">
        <f aca="false">IFERROR((E12-B12)/B12,0)</f>
        <v>-0.000822656573501569</v>
      </c>
      <c r="I12" s="9"/>
      <c r="K12" s="8" t="n">
        <f aca="false">(E9-B9)-(E12-B12)</f>
        <v>29783</v>
      </c>
      <c r="L12" s="8"/>
    </row>
    <row r="15" customFormat="false" ht="15" hidden="false" customHeight="false" outlineLevel="0" collapsed="false">
      <c r="B15" s="10" t="s">
        <v>14</v>
      </c>
    </row>
    <row r="16" customFormat="false" ht="15" hidden="false" customHeight="false" outlineLevel="0" collapsed="false">
      <c r="B16" s="11" t="s">
        <v>15</v>
      </c>
      <c r="C16" s="11" t="s">
        <v>16</v>
      </c>
      <c r="D16" s="11" t="s">
        <v>17</v>
      </c>
    </row>
    <row r="17" customFormat="false" ht="15" hidden="false" customHeight="false" outlineLevel="0" collapsed="false">
      <c r="B17" s="12" t="s">
        <v>18</v>
      </c>
      <c r="C17" s="13" t="n">
        <f aca="false">SUMIFS(Data!$E:$E,Data!$A:$A,"Jan-25",Data!$C:$C,"Revenue")</f>
        <v>1177188</v>
      </c>
      <c r="D17" s="13" t="n">
        <f aca="false">SUMIFS(Data!$F:$F,Data!$A:$A,"Jan-25",Data!$C:$C,"Revenue")</f>
        <v>1208440</v>
      </c>
    </row>
    <row r="18" customFormat="false" ht="15" hidden="false" customHeight="false" outlineLevel="0" collapsed="false">
      <c r="B18" s="12" t="s">
        <v>19</v>
      </c>
      <c r="C18" s="13" t="n">
        <f aca="false">SUMIFS(Data!$E:$E,Data!$A:$A,"Feb-25",Data!$C:$C,"Revenue")</f>
        <v>1224796</v>
      </c>
      <c r="D18" s="13" t="n">
        <f aca="false">SUMIFS(Data!$F:$F,Data!$A:$A,"Feb-25",Data!$C:$C,"Revenue")</f>
        <v>1131243</v>
      </c>
    </row>
    <row r="19" customFormat="false" ht="15" hidden="false" customHeight="false" outlineLevel="0" collapsed="false">
      <c r="B19" s="12" t="s">
        <v>20</v>
      </c>
      <c r="C19" s="13" t="n">
        <f aca="false">SUMIFS(Data!$E:$E,Data!$A:$A,"Mar-25",Data!$C:$C,"Revenue")</f>
        <v>1254585</v>
      </c>
      <c r="D19" s="13" t="n">
        <f aca="false">SUMIFS(Data!$F:$F,Data!$A:$A,"Mar-25",Data!$C:$C,"Revenue")</f>
        <v>1259931</v>
      </c>
    </row>
    <row r="20" customFormat="false" ht="15" hidden="false" customHeight="false" outlineLevel="0" collapsed="false">
      <c r="B20" s="12" t="s">
        <v>21</v>
      </c>
      <c r="C20" s="13" t="n">
        <f aca="false">SUMIFS(Data!$E:$E,Data!$A:$A,"Apr-25",Data!$C:$C,"Revenue")</f>
        <v>1260173</v>
      </c>
      <c r="D20" s="13" t="n">
        <f aca="false">SUMIFS(Data!$F:$F,Data!$A:$A,"Apr-25",Data!$C:$C,"Revenue")</f>
        <v>1213401</v>
      </c>
    </row>
    <row r="21" customFormat="false" ht="15" hidden="false" customHeight="false" outlineLevel="0" collapsed="false">
      <c r="B21" s="12" t="s">
        <v>22</v>
      </c>
      <c r="C21" s="13" t="n">
        <f aca="false">SUMIFS(Data!$E:$E,Data!$A:$A,"May-25",Data!$C:$C,"Revenue")</f>
        <v>1241622</v>
      </c>
      <c r="D21" s="13" t="n">
        <f aca="false">SUMIFS(Data!$F:$F,Data!$A:$A,"May-25",Data!$C:$C,"Revenue")</f>
        <v>1239122</v>
      </c>
    </row>
    <row r="22" customFormat="false" ht="15" hidden="false" customHeight="false" outlineLevel="0" collapsed="false">
      <c r="B22" s="12" t="s">
        <v>23</v>
      </c>
      <c r="C22" s="13" t="n">
        <f aca="false">SUMIFS(Data!$E:$E,Data!$A:$A,"Jun-25",Data!$C:$C,"Revenue")</f>
        <v>1205512</v>
      </c>
      <c r="D22" s="13" t="n">
        <f aca="false">SUMIFS(Data!$F:$F,Data!$A:$A,"Jun-25",Data!$C:$C,"Revenue")</f>
        <v>1188400</v>
      </c>
    </row>
    <row r="23" customFormat="false" ht="15" hidden="false" customHeight="false" outlineLevel="0" collapsed="false">
      <c r="B23" s="12" t="s">
        <v>24</v>
      </c>
      <c r="C23" s="13" t="n">
        <f aca="false">SUMIFS(Data!$E:$E,Data!$A:$A,"Jul-25",Data!$C:$C,"Revenue")</f>
        <v>1163233</v>
      </c>
      <c r="D23" s="13" t="n">
        <f aca="false">SUMIFS(Data!$F:$F,Data!$A:$A,"Jul-25",Data!$C:$C,"Revenue")</f>
        <v>1094606</v>
      </c>
    </row>
    <row r="24" customFormat="false" ht="15" hidden="false" customHeight="false" outlineLevel="0" collapsed="false">
      <c r="B24" s="12" t="s">
        <v>25</v>
      </c>
      <c r="C24" s="13" t="n">
        <f aca="false">SUMIFS(Data!$E:$E,Data!$A:$A,"Aug-25",Data!$C:$C,"Revenue")</f>
        <v>1127975</v>
      </c>
      <c r="D24" s="13" t="n">
        <f aca="false">SUMIFS(Data!$F:$F,Data!$A:$A,"Aug-25",Data!$C:$C,"Revenue")</f>
        <v>1037319</v>
      </c>
    </row>
    <row r="25" customFormat="false" ht="15" hidden="false" customHeight="false" outlineLevel="0" collapsed="false">
      <c r="B25" s="12" t="s">
        <v>26</v>
      </c>
      <c r="C25" s="13" t="n">
        <f aca="false">SUMIFS(Data!$E:$E,Data!$A:$A,"Sep-25",Data!$C:$C,"Revenue")</f>
        <v>1111185</v>
      </c>
      <c r="D25" s="13" t="n">
        <f aca="false">SUMIFS(Data!$F:$F,Data!$A:$A,"Sep-25",Data!$C:$C,"Revenue")</f>
        <v>1151756</v>
      </c>
    </row>
    <row r="26" customFormat="false" ht="15" hidden="false" customHeight="false" outlineLevel="0" collapsed="false">
      <c r="B26" s="12" t="s">
        <v>27</v>
      </c>
      <c r="C26" s="13" t="n">
        <f aca="false">SUMIFS(Data!$E:$E,Data!$A:$A,"Oct-25",Data!$C:$C,"Revenue")</f>
        <v>1119463</v>
      </c>
      <c r="D26" s="13" t="n">
        <f aca="false">SUMIFS(Data!$F:$F,Data!$A:$A,"Oct-25",Data!$C:$C,"Revenue")</f>
        <v>1084481</v>
      </c>
    </row>
    <row r="27" customFormat="false" ht="15" hidden="false" customHeight="false" outlineLevel="0" collapsed="false">
      <c r="B27" s="12" t="s">
        <v>28</v>
      </c>
      <c r="C27" s="13" t="n">
        <f aca="false">SUMIFS(Data!$E:$E,Data!$A:$A,"Nov-25",Data!$C:$C,"Revenue")</f>
        <v>1152727</v>
      </c>
      <c r="D27" s="13" t="n">
        <f aca="false">SUMIFS(Data!$F:$F,Data!$A:$A,"Nov-25",Data!$C:$C,"Revenue")</f>
        <v>1111088</v>
      </c>
    </row>
    <row r="28" customFormat="false" ht="15" hidden="false" customHeight="false" outlineLevel="0" collapsed="false">
      <c r="B28" s="12" t="s">
        <v>29</v>
      </c>
      <c r="C28" s="13" t="n">
        <f aca="false">SUMIFS(Data!$E:$E,Data!$A:$A,"Dec-25",Data!$C:$C,"Revenue")</f>
        <v>1204154</v>
      </c>
      <c r="D28" s="13" t="n">
        <f aca="false">SUMIFS(Data!$F:$F,Data!$A:$A,"Dec-25",Data!$C:$C,"Revenue")</f>
        <v>1296100</v>
      </c>
    </row>
    <row r="29" customFormat="false" ht="15" hidden="false" customHeight="false" outlineLevel="0" collapsed="false">
      <c r="B29" s="12" t="s">
        <v>30</v>
      </c>
      <c r="C29" s="13" t="n">
        <f aca="false">SUMIFS(Data!$E:$E,Data!$A:$A,"Jan-26",Data!$C:$C,"Revenue")</f>
        <v>1261945</v>
      </c>
      <c r="D29" s="13" t="n">
        <f aca="false">SUMIFS(Data!$F:$F,Data!$A:$A,"Jan-26",Data!$C:$C,"Revenue")</f>
        <v>1291383</v>
      </c>
    </row>
    <row r="30" customFormat="false" ht="15" hidden="false" customHeight="false" outlineLevel="0" collapsed="false">
      <c r="B30" s="12" t="s">
        <v>31</v>
      </c>
      <c r="C30" s="13" t="n">
        <f aca="false">SUMIFS(Data!$E:$E,Data!$A:$A,"Feb-26",Data!$C:$C,"Revenue")</f>
        <v>1312455</v>
      </c>
      <c r="D30" s="13" t="n">
        <f aca="false">SUMIFS(Data!$F:$F,Data!$A:$A,"Feb-26",Data!$C:$C,"Revenue")</f>
        <v>1379903</v>
      </c>
    </row>
    <row r="31" customFormat="false" ht="15" hidden="false" customHeight="false" outlineLevel="0" collapsed="false">
      <c r="B31" s="12" t="s">
        <v>32</v>
      </c>
      <c r="C31" s="13" t="n">
        <f aca="false">SUMIFS(Data!$E:$E,Data!$A:$A,"Mar-26",Data!$C:$C,"Revenue")</f>
        <v>1343846</v>
      </c>
      <c r="D31" s="13" t="n">
        <f aca="false">SUMIFS(Data!$F:$F,Data!$A:$A,"Mar-26",Data!$C:$C,"Revenue")</f>
        <v>1326208</v>
      </c>
    </row>
    <row r="32" customFormat="false" ht="15" hidden="false" customHeight="false" outlineLevel="0" collapsed="false">
      <c r="B32" s="12" t="s">
        <v>33</v>
      </c>
      <c r="C32" s="13" t="n">
        <f aca="false">SUMIFS(Data!$E:$E,Data!$A:$A,"Apr-26",Data!$C:$C,"Revenue")</f>
        <v>1349302</v>
      </c>
      <c r="D32" s="13" t="n">
        <f aca="false">SUMIFS(Data!$F:$F,Data!$A:$A,"Apr-26",Data!$C:$C,"Revenue")</f>
        <v>1437707</v>
      </c>
    </row>
    <row r="33" customFormat="false" ht="15" hidden="false" customHeight="false" outlineLevel="0" collapsed="false">
      <c r="B33" s="12" t="s">
        <v>34</v>
      </c>
      <c r="C33" s="13" t="n">
        <f aca="false">SUMIFS(Data!$E:$E,Data!$A:$A,"May-26",Data!$C:$C,"Revenue")</f>
        <v>1328924</v>
      </c>
      <c r="D33" s="13" t="n">
        <f aca="false">SUMIFS(Data!$F:$F,Data!$A:$A,"May-26",Data!$C:$C,"Revenue")</f>
        <v>1292078</v>
      </c>
    </row>
    <row r="34" customFormat="false" ht="15" hidden="false" customHeight="false" outlineLevel="0" collapsed="false">
      <c r="B34" s="12" t="s">
        <v>35</v>
      </c>
      <c r="C34" s="13" t="n">
        <f aca="false">SUMIFS(Data!$E:$E,Data!$A:$A,"Jun-26",Data!$C:$C,"Revenue")</f>
        <v>1289781</v>
      </c>
      <c r="D34" s="13" t="n">
        <f aca="false">SUMIFS(Data!$F:$F,Data!$A:$A,"Jun-26",Data!$C:$C,"Revenue")</f>
        <v>1310101</v>
      </c>
    </row>
    <row r="35" customFormat="false" ht="15" hidden="false" customHeight="false" outlineLevel="0" collapsed="false">
      <c r="B35" s="12" t="s">
        <v>36</v>
      </c>
      <c r="C35" s="13" t="n">
        <f aca="false">SUMIFS(Data!$E:$E,Data!$A:$A,"Jul-26",Data!$C:$C,"Revenue")</f>
        <v>1244076</v>
      </c>
      <c r="D35" s="13" t="n">
        <f aca="false">SUMIFS(Data!$F:$F,Data!$A:$A,"Jul-26",Data!$C:$C,"Revenue")</f>
        <v>1279890</v>
      </c>
    </row>
    <row r="36" customFormat="false" ht="15" hidden="false" customHeight="false" outlineLevel="0" collapsed="false">
      <c r="B36" s="12" t="s">
        <v>37</v>
      </c>
      <c r="C36" s="13" t="n">
        <f aca="false">SUMIFS(Data!$E:$E,Data!$A:$A,"Aug-26",Data!$C:$C,"Revenue")</f>
        <v>1205916</v>
      </c>
      <c r="D36" s="13" t="n">
        <f aca="false">SUMIFS(Data!$F:$F,Data!$A:$A,"Aug-26",Data!$C:$C,"Revenue")</f>
        <v>1250876</v>
      </c>
    </row>
    <row r="37" customFormat="false" ht="15" hidden="false" customHeight="false" outlineLevel="0" collapsed="false">
      <c r="B37" s="12" t="s">
        <v>38</v>
      </c>
      <c r="C37" s="13" t="n">
        <f aca="false">SUMIFS(Data!$E:$E,Data!$A:$A,"Sep-26",Data!$C:$C,"Revenue")</f>
        <v>1187525</v>
      </c>
      <c r="D37" s="13" t="n">
        <f aca="false">SUMIFS(Data!$F:$F,Data!$A:$A,"Sep-26",Data!$C:$C,"Revenue")</f>
        <v>1096363</v>
      </c>
    </row>
    <row r="38" customFormat="false" ht="15" hidden="false" customHeight="false" outlineLevel="0" collapsed="false">
      <c r="B38" s="12" t="s">
        <v>39</v>
      </c>
      <c r="C38" s="13" t="n">
        <f aca="false">SUMIFS(Data!$E:$E,Data!$A:$A,"Oct-26",Data!$C:$C,"Revenue")</f>
        <v>1195935</v>
      </c>
      <c r="D38" s="13" t="n">
        <f aca="false">SUMIFS(Data!$F:$F,Data!$A:$A,"Oct-26",Data!$C:$C,"Revenue")</f>
        <v>1208719</v>
      </c>
    </row>
    <row r="39" customFormat="false" ht="15" hidden="false" customHeight="false" outlineLevel="0" collapsed="false">
      <c r="B39" s="12" t="s">
        <v>40</v>
      </c>
      <c r="C39" s="13" t="n">
        <f aca="false">SUMIFS(Data!$E:$E,Data!$A:$A,"Nov-26",Data!$C:$C,"Revenue")</f>
        <v>1231025</v>
      </c>
      <c r="D39" s="13" t="n">
        <f aca="false">SUMIFS(Data!$F:$F,Data!$A:$A,"Nov-26",Data!$C:$C,"Revenue")</f>
        <v>1311042</v>
      </c>
    </row>
    <row r="40" customFormat="false" ht="15" hidden="false" customHeight="false" outlineLevel="0" collapsed="false">
      <c r="B40" s="12" t="s">
        <v>41</v>
      </c>
      <c r="C40" s="13" t="n">
        <f aca="false">SUMIFS(Data!$E:$E,Data!$A:$A,"Dec-26",Data!$C:$C,"Revenue")</f>
        <v>1285485</v>
      </c>
      <c r="D40" s="13" t="n">
        <f aca="false">SUMIFS(Data!$F:$F,Data!$A:$A,"Dec-26",Data!$C:$C,"Revenue")</f>
        <v>1285152</v>
      </c>
    </row>
    <row r="43" customFormat="false" ht="15" hidden="false" customHeight="false" outlineLevel="0" collapsed="false">
      <c r="B43" s="10" t="s">
        <v>42</v>
      </c>
    </row>
    <row r="44" customFormat="false" ht="15" hidden="false" customHeight="false" outlineLevel="0" collapsed="false">
      <c r="B44" s="11" t="s">
        <v>15</v>
      </c>
      <c r="C44" s="11" t="s">
        <v>16</v>
      </c>
      <c r="D44" s="11" t="s">
        <v>17</v>
      </c>
    </row>
    <row r="45" customFormat="false" ht="15" hidden="false" customHeight="false" outlineLevel="0" collapsed="false">
      <c r="B45" s="12" t="s">
        <v>18</v>
      </c>
      <c r="C45" s="13" t="n">
        <f aca="false">SUMIFS(Data!$E:$E,Data!$A:$A,"Jan-25",Data!$C:$C,"Expense")</f>
        <v>1131124</v>
      </c>
      <c r="D45" s="13" t="n">
        <f aca="false">SUMIFS(Data!$F:$F,Data!$A:$A,"Jan-25",Data!$C:$C,"Expense")</f>
        <v>1178140</v>
      </c>
    </row>
    <row r="46" customFormat="false" ht="15" hidden="false" customHeight="false" outlineLevel="0" collapsed="false">
      <c r="B46" s="12" t="s">
        <v>19</v>
      </c>
      <c r="C46" s="13" t="n">
        <f aca="false">SUMIFS(Data!$E:$E,Data!$A:$A,"Feb-25",Data!$C:$C,"Expense")</f>
        <v>1176870</v>
      </c>
      <c r="D46" s="13" t="n">
        <f aca="false">SUMIFS(Data!$F:$F,Data!$A:$A,"Feb-25",Data!$C:$C,"Expense")</f>
        <v>1196035</v>
      </c>
    </row>
    <row r="47" customFormat="false" ht="15" hidden="false" customHeight="false" outlineLevel="0" collapsed="false">
      <c r="B47" s="12" t="s">
        <v>20</v>
      </c>
      <c r="C47" s="13" t="n">
        <f aca="false">SUMIFS(Data!$E:$E,Data!$A:$A,"Mar-25",Data!$C:$C,"Expense")</f>
        <v>1205494</v>
      </c>
      <c r="D47" s="13" t="n">
        <f aca="false">SUMIFS(Data!$F:$F,Data!$A:$A,"Mar-25",Data!$C:$C,"Expense")</f>
        <v>1242149</v>
      </c>
    </row>
    <row r="48" customFormat="false" ht="15" hidden="false" customHeight="false" outlineLevel="0" collapsed="false">
      <c r="B48" s="12" t="s">
        <v>21</v>
      </c>
      <c r="C48" s="13" t="n">
        <f aca="false">SUMIFS(Data!$E:$E,Data!$A:$A,"Apr-25",Data!$C:$C,"Expense")</f>
        <v>1210862</v>
      </c>
      <c r="D48" s="13" t="n">
        <f aca="false">SUMIFS(Data!$F:$F,Data!$A:$A,"Apr-25",Data!$C:$C,"Expense")</f>
        <v>1192454</v>
      </c>
    </row>
    <row r="49" customFormat="false" ht="15" hidden="false" customHeight="false" outlineLevel="0" collapsed="false">
      <c r="B49" s="12" t="s">
        <v>22</v>
      </c>
      <c r="C49" s="13" t="n">
        <f aca="false">SUMIFS(Data!$E:$E,Data!$A:$A,"May-25",Data!$C:$C,"Expense")</f>
        <v>1193038</v>
      </c>
      <c r="D49" s="13" t="n">
        <f aca="false">SUMIFS(Data!$F:$F,Data!$A:$A,"May-25",Data!$C:$C,"Expense")</f>
        <v>1208683</v>
      </c>
    </row>
    <row r="50" customFormat="false" ht="15" hidden="false" customHeight="false" outlineLevel="0" collapsed="false">
      <c r="B50" s="12" t="s">
        <v>23</v>
      </c>
      <c r="C50" s="13" t="n">
        <f aca="false">SUMIFS(Data!$E:$E,Data!$A:$A,"Jun-25",Data!$C:$C,"Expense")</f>
        <v>1158340</v>
      </c>
      <c r="D50" s="13" t="n">
        <f aca="false">SUMIFS(Data!$F:$F,Data!$A:$A,"Jun-25",Data!$C:$C,"Expense")</f>
        <v>1089801</v>
      </c>
    </row>
    <row r="51" customFormat="false" ht="15" hidden="false" customHeight="false" outlineLevel="0" collapsed="false">
      <c r="B51" s="12" t="s">
        <v>24</v>
      </c>
      <c r="C51" s="13" t="n">
        <f aca="false">SUMIFS(Data!$E:$E,Data!$A:$A,"Jul-25",Data!$C:$C,"Expense")</f>
        <v>1117716</v>
      </c>
      <c r="D51" s="13" t="n">
        <f aca="false">SUMIFS(Data!$F:$F,Data!$A:$A,"Jul-25",Data!$C:$C,"Expense")</f>
        <v>1069997</v>
      </c>
    </row>
    <row r="52" customFormat="false" ht="15" hidden="false" customHeight="false" outlineLevel="0" collapsed="false">
      <c r="B52" s="12" t="s">
        <v>25</v>
      </c>
      <c r="C52" s="13" t="n">
        <f aca="false">SUMIFS(Data!$E:$E,Data!$A:$A,"Aug-25",Data!$C:$C,"Expense")</f>
        <v>1083837</v>
      </c>
      <c r="D52" s="13" t="n">
        <f aca="false">SUMIFS(Data!$F:$F,Data!$A:$A,"Aug-25",Data!$C:$C,"Expense")</f>
        <v>1118043</v>
      </c>
    </row>
    <row r="53" customFormat="false" ht="15" hidden="false" customHeight="false" outlineLevel="0" collapsed="false">
      <c r="B53" s="12" t="s">
        <v>26</v>
      </c>
      <c r="C53" s="13" t="n">
        <f aca="false">SUMIFS(Data!$E:$E,Data!$A:$A,"Sep-25",Data!$C:$C,"Expense")</f>
        <v>1067703</v>
      </c>
      <c r="D53" s="13" t="n">
        <f aca="false">SUMIFS(Data!$F:$F,Data!$A:$A,"Sep-25",Data!$C:$C,"Expense")</f>
        <v>1144099</v>
      </c>
    </row>
    <row r="54" customFormat="false" ht="15" hidden="false" customHeight="false" outlineLevel="0" collapsed="false">
      <c r="B54" s="12" t="s">
        <v>27</v>
      </c>
      <c r="C54" s="13" t="n">
        <f aca="false">SUMIFS(Data!$E:$E,Data!$A:$A,"Oct-25",Data!$C:$C,"Expense")</f>
        <v>1075658</v>
      </c>
      <c r="D54" s="13" t="n">
        <f aca="false">SUMIFS(Data!$F:$F,Data!$A:$A,"Oct-25",Data!$C:$C,"Expense")</f>
        <v>1074619</v>
      </c>
    </row>
    <row r="55" customFormat="false" ht="15" hidden="false" customHeight="false" outlineLevel="0" collapsed="false">
      <c r="B55" s="12" t="s">
        <v>28</v>
      </c>
      <c r="C55" s="13" t="n">
        <f aca="false">SUMIFS(Data!$E:$E,Data!$A:$A,"Nov-25",Data!$C:$C,"Expense")</f>
        <v>1107619</v>
      </c>
      <c r="D55" s="13" t="n">
        <f aca="false">SUMIFS(Data!$F:$F,Data!$A:$A,"Nov-25",Data!$C:$C,"Expense")</f>
        <v>1086275</v>
      </c>
    </row>
    <row r="56" customFormat="false" ht="15" hidden="false" customHeight="false" outlineLevel="0" collapsed="false">
      <c r="B56" s="12" t="s">
        <v>29</v>
      </c>
      <c r="C56" s="13" t="n">
        <f aca="false">SUMIFS(Data!$E:$E,Data!$A:$A,"Dec-25",Data!$C:$C,"Expense")</f>
        <v>1157035</v>
      </c>
      <c r="D56" s="13" t="n">
        <f aca="false">SUMIFS(Data!$F:$F,Data!$A:$A,"Dec-25",Data!$C:$C,"Expense")</f>
        <v>1191565</v>
      </c>
    </row>
    <row r="57" customFormat="false" ht="15" hidden="false" customHeight="false" outlineLevel="0" collapsed="false">
      <c r="B57" s="12" t="s">
        <v>30</v>
      </c>
      <c r="C57" s="13" t="n">
        <f aca="false">SUMIFS(Data!$E:$E,Data!$A:$A,"Jan-26",Data!$C:$C,"Expense")</f>
        <v>1212565</v>
      </c>
      <c r="D57" s="13" t="n">
        <f aca="false">SUMIFS(Data!$F:$F,Data!$A:$A,"Jan-26",Data!$C:$C,"Expense")</f>
        <v>1199969</v>
      </c>
    </row>
    <row r="58" customFormat="false" ht="15" hidden="false" customHeight="false" outlineLevel="0" collapsed="false">
      <c r="B58" s="12" t="s">
        <v>31</v>
      </c>
      <c r="C58" s="13" t="n">
        <f aca="false">SUMIFS(Data!$E:$E,Data!$A:$A,"Feb-26",Data!$C:$C,"Expense")</f>
        <v>1261098</v>
      </c>
      <c r="D58" s="13" t="n">
        <f aca="false">SUMIFS(Data!$F:$F,Data!$A:$A,"Feb-26",Data!$C:$C,"Expense")</f>
        <v>1261915</v>
      </c>
    </row>
    <row r="59" customFormat="false" ht="15" hidden="false" customHeight="false" outlineLevel="0" collapsed="false">
      <c r="B59" s="12" t="s">
        <v>32</v>
      </c>
      <c r="C59" s="13" t="n">
        <f aca="false">SUMIFS(Data!$E:$E,Data!$A:$A,"Mar-26",Data!$C:$C,"Expense")</f>
        <v>1291260</v>
      </c>
      <c r="D59" s="13" t="n">
        <f aca="false">SUMIFS(Data!$F:$F,Data!$A:$A,"Mar-26",Data!$C:$C,"Expense")</f>
        <v>1232050</v>
      </c>
    </row>
    <row r="60" customFormat="false" ht="15" hidden="false" customHeight="false" outlineLevel="0" collapsed="false">
      <c r="B60" s="12" t="s">
        <v>33</v>
      </c>
      <c r="C60" s="13" t="n">
        <f aca="false">SUMIFS(Data!$E:$E,Data!$A:$A,"Apr-26",Data!$C:$C,"Expense")</f>
        <v>1296502</v>
      </c>
      <c r="D60" s="13" t="n">
        <f aca="false">SUMIFS(Data!$F:$F,Data!$A:$A,"Apr-26",Data!$C:$C,"Expense")</f>
        <v>1261160</v>
      </c>
    </row>
    <row r="61" customFormat="false" ht="15" hidden="false" customHeight="false" outlineLevel="0" collapsed="false">
      <c r="B61" s="12" t="s">
        <v>34</v>
      </c>
      <c r="C61" s="13" t="n">
        <f aca="false">SUMIFS(Data!$E:$E,Data!$A:$A,"May-26",Data!$C:$C,"Expense")</f>
        <v>1276923</v>
      </c>
      <c r="D61" s="13" t="n">
        <f aca="false">SUMIFS(Data!$F:$F,Data!$A:$A,"May-26",Data!$C:$C,"Expense")</f>
        <v>1327237</v>
      </c>
    </row>
    <row r="62" customFormat="false" ht="15" hidden="false" customHeight="false" outlineLevel="0" collapsed="false">
      <c r="B62" s="12" t="s">
        <v>35</v>
      </c>
      <c r="C62" s="13" t="n">
        <f aca="false">SUMIFS(Data!$E:$E,Data!$A:$A,"Jun-26",Data!$C:$C,"Expense")</f>
        <v>1239312</v>
      </c>
      <c r="D62" s="13" t="n">
        <f aca="false">SUMIFS(Data!$F:$F,Data!$A:$A,"Jun-26",Data!$C:$C,"Expense")</f>
        <v>1207249</v>
      </c>
    </row>
    <row r="63" customFormat="false" ht="15" hidden="false" customHeight="false" outlineLevel="0" collapsed="false">
      <c r="B63" s="12" t="s">
        <v>36</v>
      </c>
      <c r="C63" s="13" t="n">
        <f aca="false">SUMIFS(Data!$E:$E,Data!$A:$A,"Jul-26",Data!$C:$C,"Expense")</f>
        <v>1195393</v>
      </c>
      <c r="D63" s="13" t="n">
        <f aca="false">SUMIFS(Data!$F:$F,Data!$A:$A,"Jul-26",Data!$C:$C,"Expense")</f>
        <v>1226762</v>
      </c>
    </row>
    <row r="64" customFormat="false" ht="15" hidden="false" customHeight="false" outlineLevel="0" collapsed="false">
      <c r="B64" s="12" t="s">
        <v>37</v>
      </c>
      <c r="C64" s="13" t="n">
        <f aca="false">SUMIFS(Data!$E:$E,Data!$A:$A,"Aug-26",Data!$C:$C,"Expense")</f>
        <v>1158726</v>
      </c>
      <c r="D64" s="13" t="n">
        <f aca="false">SUMIFS(Data!$F:$F,Data!$A:$A,"Aug-26",Data!$C:$C,"Expense")</f>
        <v>1110361</v>
      </c>
    </row>
    <row r="65" customFormat="false" ht="15" hidden="false" customHeight="false" outlineLevel="0" collapsed="false">
      <c r="B65" s="12" t="s">
        <v>38</v>
      </c>
      <c r="C65" s="13" t="n">
        <f aca="false">SUMIFS(Data!$E:$E,Data!$A:$A,"Sep-26",Data!$C:$C,"Expense")</f>
        <v>1141057</v>
      </c>
      <c r="D65" s="13" t="n">
        <f aca="false">SUMIFS(Data!$F:$F,Data!$A:$A,"Sep-26",Data!$C:$C,"Expense")</f>
        <v>1088044</v>
      </c>
    </row>
    <row r="66" customFormat="false" ht="15" hidden="false" customHeight="false" outlineLevel="0" collapsed="false">
      <c r="B66" s="12" t="s">
        <v>39</v>
      </c>
      <c r="C66" s="13" t="n">
        <f aca="false">SUMIFS(Data!$E:$E,Data!$A:$A,"Oct-26",Data!$C:$C,"Expense")</f>
        <v>1149137</v>
      </c>
      <c r="D66" s="13" t="n">
        <f aca="false">SUMIFS(Data!$F:$F,Data!$A:$A,"Oct-26",Data!$C:$C,"Expense")</f>
        <v>1210982</v>
      </c>
    </row>
    <row r="67" customFormat="false" ht="15" hidden="false" customHeight="false" outlineLevel="0" collapsed="false">
      <c r="B67" s="12" t="s">
        <v>40</v>
      </c>
      <c r="C67" s="13" t="n">
        <f aca="false">SUMIFS(Data!$E:$E,Data!$A:$A,"Nov-26",Data!$C:$C,"Expense")</f>
        <v>1182855</v>
      </c>
      <c r="D67" s="13" t="n">
        <f aca="false">SUMIFS(Data!$F:$F,Data!$A:$A,"Nov-26",Data!$C:$C,"Expense")</f>
        <v>1118261</v>
      </c>
    </row>
    <row r="68" customFormat="false" ht="15" hidden="false" customHeight="false" outlineLevel="0" collapsed="false">
      <c r="B68" s="12" t="s">
        <v>41</v>
      </c>
      <c r="C68" s="13" t="n">
        <f aca="false">SUMIFS(Data!$E:$E,Data!$A:$A,"Dec-26",Data!$C:$C,"Expense")</f>
        <v>1235183</v>
      </c>
      <c r="D68" s="13" t="n">
        <f aca="false">SUMIFS(Data!$F:$F,Data!$A:$A,"Dec-26",Data!$C:$C,"Expense")</f>
        <v>1266155</v>
      </c>
    </row>
    <row r="71" customFormat="false" ht="15" hidden="false" customHeight="false" outlineLevel="0" collapsed="false">
      <c r="B71" s="10" t="s">
        <v>43</v>
      </c>
    </row>
    <row r="72" customFormat="false" ht="15" hidden="false" customHeight="false" outlineLevel="0" collapsed="false">
      <c r="B72" s="11" t="s">
        <v>15</v>
      </c>
      <c r="C72" s="11" t="s">
        <v>44</v>
      </c>
      <c r="D72" s="11" t="s">
        <v>17</v>
      </c>
      <c r="E72" s="11" t="s">
        <v>45</v>
      </c>
    </row>
    <row r="73" customFormat="false" ht="15" hidden="false" customHeight="false" outlineLevel="0" collapsed="false">
      <c r="B73" s="12" t="s">
        <v>18</v>
      </c>
      <c r="C73" s="13" t="n">
        <f aca="false">SUMIFS(Data!$G:$G,Data!$A:$A,"Jan-25",Data!$C:$C,"Revenue")</f>
        <v>1167208</v>
      </c>
      <c r="D73" s="13" t="n">
        <f aca="false">SUMIFS(Data!$F:$F,Data!$A:$A,"Jan-25",Data!$C:$C,"Revenue")</f>
        <v>1208440</v>
      </c>
      <c r="E73" s="14" t="n">
        <f aca="false">1-ABS(D73-C73)/D73</f>
        <v>0.965879977491642</v>
      </c>
    </row>
    <row r="74" customFormat="false" ht="15" hidden="false" customHeight="false" outlineLevel="0" collapsed="false">
      <c r="B74" s="12" t="s">
        <v>19</v>
      </c>
      <c r="C74" s="13" t="n">
        <f aca="false">SUMIFS(Data!$G:$G,Data!$A:$A,"Feb-25",Data!$C:$C,"Revenue")</f>
        <v>1100603</v>
      </c>
      <c r="D74" s="13" t="n">
        <f aca="false">SUMIFS(Data!$F:$F,Data!$A:$A,"Feb-25",Data!$C:$C,"Revenue")</f>
        <v>1131243</v>
      </c>
      <c r="E74" s="14" t="n">
        <f aca="false">1-ABS(D74-C74)/D74</f>
        <v>0.972914749527732</v>
      </c>
    </row>
    <row r="75" customFormat="false" ht="15" hidden="false" customHeight="false" outlineLevel="0" collapsed="false">
      <c r="B75" s="12" t="s">
        <v>20</v>
      </c>
      <c r="C75" s="13" t="n">
        <f aca="false">SUMIFS(Data!$G:$G,Data!$A:$A,"Mar-25",Data!$C:$C,"Revenue")</f>
        <v>1300553</v>
      </c>
      <c r="D75" s="13" t="n">
        <f aca="false">SUMIFS(Data!$F:$F,Data!$A:$A,"Mar-25",Data!$C:$C,"Revenue")</f>
        <v>1259931</v>
      </c>
      <c r="E75" s="14" t="n">
        <f aca="false">1-ABS(D75-C75)/D75</f>
        <v>0.967758551857205</v>
      </c>
    </row>
    <row r="76" customFormat="false" ht="15" hidden="false" customHeight="false" outlineLevel="0" collapsed="false">
      <c r="B76" s="12" t="s">
        <v>21</v>
      </c>
      <c r="C76" s="13" t="n">
        <f aca="false">SUMIFS(Data!$G:$G,Data!$A:$A,"Apr-25",Data!$C:$C,"Revenue")</f>
        <v>1273077</v>
      </c>
      <c r="D76" s="13" t="n">
        <f aca="false">SUMIFS(Data!$F:$F,Data!$A:$A,"Apr-25",Data!$C:$C,"Revenue")</f>
        <v>1213401</v>
      </c>
      <c r="E76" s="14" t="n">
        <f aca="false">1-ABS(D76-C76)/D76</f>
        <v>0.950819226290402</v>
      </c>
    </row>
    <row r="77" customFormat="false" ht="15" hidden="false" customHeight="false" outlineLevel="0" collapsed="false">
      <c r="B77" s="12" t="s">
        <v>22</v>
      </c>
      <c r="C77" s="13" t="n">
        <f aca="false">SUMIFS(Data!$G:$G,Data!$A:$A,"May-25",Data!$C:$C,"Revenue")</f>
        <v>1277127</v>
      </c>
      <c r="D77" s="13" t="n">
        <f aca="false">SUMIFS(Data!$F:$F,Data!$A:$A,"May-25",Data!$C:$C,"Revenue")</f>
        <v>1239122</v>
      </c>
      <c r="E77" s="14" t="n">
        <f aca="false">1-ABS(D77-C77)/D77</f>
        <v>0.969329089468188</v>
      </c>
    </row>
    <row r="78" customFormat="false" ht="15" hidden="false" customHeight="false" outlineLevel="0" collapsed="false">
      <c r="B78" s="12" t="s">
        <v>23</v>
      </c>
      <c r="C78" s="13" t="n">
        <f aca="false">SUMIFS(Data!$G:$G,Data!$A:$A,"Jun-25",Data!$C:$C,"Revenue")</f>
        <v>1210014</v>
      </c>
      <c r="D78" s="13" t="n">
        <f aca="false">SUMIFS(Data!$F:$F,Data!$A:$A,"Jun-25",Data!$C:$C,"Revenue")</f>
        <v>1188400</v>
      </c>
      <c r="E78" s="14" t="n">
        <f aca="false">1-ABS(D78-C78)/D78</f>
        <v>0.981812521036688</v>
      </c>
    </row>
    <row r="79" customFormat="false" ht="15" hidden="false" customHeight="false" outlineLevel="0" collapsed="false">
      <c r="B79" s="12" t="s">
        <v>24</v>
      </c>
      <c r="C79" s="13" t="n">
        <f aca="false">SUMIFS(Data!$G:$G,Data!$A:$A,"Jul-25",Data!$C:$C,"Revenue")</f>
        <v>1065288</v>
      </c>
      <c r="D79" s="13" t="n">
        <f aca="false">SUMIFS(Data!$F:$F,Data!$A:$A,"Jul-25",Data!$C:$C,"Revenue")</f>
        <v>1094606</v>
      </c>
      <c r="E79" s="14" t="n">
        <f aca="false">1-ABS(D79-C79)/D79</f>
        <v>0.973215933404348</v>
      </c>
    </row>
    <row r="80" customFormat="false" ht="15" hidden="false" customHeight="false" outlineLevel="0" collapsed="false">
      <c r="B80" s="12" t="s">
        <v>25</v>
      </c>
      <c r="C80" s="13" t="n">
        <f aca="false">SUMIFS(Data!$G:$G,Data!$A:$A,"Aug-25",Data!$C:$C,"Revenue")</f>
        <v>1046842</v>
      </c>
      <c r="D80" s="13" t="n">
        <f aca="false">SUMIFS(Data!$F:$F,Data!$A:$A,"Aug-25",Data!$C:$C,"Revenue")</f>
        <v>1037319</v>
      </c>
      <c r="E80" s="14" t="n">
        <f aca="false">1-ABS(D80-C80)/D80</f>
        <v>0.990819603227165</v>
      </c>
    </row>
    <row r="81" customFormat="false" ht="15" hidden="false" customHeight="false" outlineLevel="0" collapsed="false">
      <c r="B81" s="12" t="s">
        <v>26</v>
      </c>
      <c r="C81" s="13" t="n">
        <f aca="false">SUMIFS(Data!$G:$G,Data!$A:$A,"Sep-25",Data!$C:$C,"Revenue")</f>
        <v>1141523</v>
      </c>
      <c r="D81" s="13" t="n">
        <f aca="false">SUMIFS(Data!$F:$F,Data!$A:$A,"Sep-25",Data!$C:$C,"Revenue")</f>
        <v>1151756</v>
      </c>
      <c r="E81" s="14" t="n">
        <f aca="false">1-ABS(D81-C81)/D81</f>
        <v>0.991115305672382</v>
      </c>
    </row>
    <row r="82" customFormat="false" ht="15" hidden="false" customHeight="false" outlineLevel="0" collapsed="false">
      <c r="B82" s="12" t="s">
        <v>27</v>
      </c>
      <c r="C82" s="13" t="n">
        <f aca="false">SUMIFS(Data!$G:$G,Data!$A:$A,"Oct-25",Data!$C:$C,"Revenue")</f>
        <v>1110061</v>
      </c>
      <c r="D82" s="13" t="n">
        <f aca="false">SUMIFS(Data!$F:$F,Data!$A:$A,"Oct-25",Data!$C:$C,"Revenue")</f>
        <v>1084481</v>
      </c>
      <c r="E82" s="14" t="n">
        <f aca="false">1-ABS(D82-C82)/D82</f>
        <v>0.976412680351246</v>
      </c>
    </row>
    <row r="83" customFormat="false" ht="15" hidden="false" customHeight="false" outlineLevel="0" collapsed="false">
      <c r="B83" s="12" t="s">
        <v>28</v>
      </c>
      <c r="C83" s="13" t="n">
        <f aca="false">SUMIFS(Data!$G:$G,Data!$A:$A,"Nov-25",Data!$C:$C,"Revenue")</f>
        <v>1113589</v>
      </c>
      <c r="D83" s="13" t="n">
        <f aca="false">SUMIFS(Data!$F:$F,Data!$A:$A,"Nov-25",Data!$C:$C,"Revenue")</f>
        <v>1111088</v>
      </c>
      <c r="E83" s="14" t="n">
        <f aca="false">1-ABS(D83-C83)/D83</f>
        <v>0.997749053180306</v>
      </c>
    </row>
    <row r="84" customFormat="false" ht="15" hidden="false" customHeight="false" outlineLevel="0" collapsed="false">
      <c r="B84" s="12" t="s">
        <v>29</v>
      </c>
      <c r="C84" s="13" t="n">
        <f aca="false">SUMIFS(Data!$G:$G,Data!$A:$A,"Dec-25",Data!$C:$C,"Revenue")</f>
        <v>1282779</v>
      </c>
      <c r="D84" s="13" t="n">
        <f aca="false">SUMIFS(Data!$F:$F,Data!$A:$A,"Dec-25",Data!$C:$C,"Revenue")</f>
        <v>1296100</v>
      </c>
      <c r="E84" s="14" t="n">
        <f aca="false">1-ABS(D84-C84)/D84</f>
        <v>0.989722243654039</v>
      </c>
    </row>
    <row r="85" customFormat="false" ht="15" hidden="false" customHeight="false" outlineLevel="0" collapsed="false">
      <c r="B85" s="12" t="s">
        <v>30</v>
      </c>
      <c r="C85" s="13" t="n">
        <f aca="false">SUMIFS(Data!$G:$G,Data!$A:$A,"Jan-26",Data!$C:$C,"Revenue")</f>
        <v>1259009</v>
      </c>
      <c r="D85" s="13" t="n">
        <f aca="false">SUMIFS(Data!$F:$F,Data!$A:$A,"Jan-26",Data!$C:$C,"Revenue")</f>
        <v>1291383</v>
      </c>
      <c r="E85" s="14" t="n">
        <f aca="false">1-ABS(D85-C85)/D85</f>
        <v>0.974930752534299</v>
      </c>
    </row>
    <row r="86" customFormat="false" ht="15" hidden="false" customHeight="false" outlineLevel="0" collapsed="false">
      <c r="B86" s="12" t="s">
        <v>31</v>
      </c>
      <c r="C86" s="13" t="n">
        <f aca="false">SUMIFS(Data!$G:$G,Data!$A:$A,"Feb-26",Data!$C:$C,"Revenue")</f>
        <v>1339825</v>
      </c>
      <c r="D86" s="13" t="n">
        <f aca="false">SUMIFS(Data!$F:$F,Data!$A:$A,"Feb-26",Data!$C:$C,"Revenue")</f>
        <v>1379903</v>
      </c>
      <c r="E86" s="14" t="n">
        <f aca="false">1-ABS(D86-C86)/D86</f>
        <v>0.970955929510987</v>
      </c>
    </row>
    <row r="87" customFormat="false" ht="15" hidden="false" customHeight="false" outlineLevel="0" collapsed="false">
      <c r="B87" s="12" t="s">
        <v>32</v>
      </c>
      <c r="C87" s="13" t="n">
        <f aca="false">SUMIFS(Data!$G:$G,Data!$A:$A,"Mar-26",Data!$C:$C,"Revenue")</f>
        <v>1340605</v>
      </c>
      <c r="D87" s="13" t="n">
        <f aca="false">SUMIFS(Data!$F:$F,Data!$A:$A,"Mar-26",Data!$C:$C,"Revenue")</f>
        <v>1326208</v>
      </c>
      <c r="E87" s="14" t="n">
        <f aca="false">1-ABS(D87-C87)/D87</f>
        <v>0.989144236801467</v>
      </c>
    </row>
    <row r="88" customFormat="false" ht="15" hidden="false" customHeight="false" outlineLevel="0" collapsed="false">
      <c r="B88" s="12" t="s">
        <v>33</v>
      </c>
      <c r="C88" s="13" t="n">
        <f aca="false">SUMIFS(Data!$G:$G,Data!$A:$A,"Apr-26",Data!$C:$C,"Revenue")</f>
        <v>1395967</v>
      </c>
      <c r="D88" s="13" t="n">
        <f aca="false">SUMIFS(Data!$F:$F,Data!$A:$A,"Apr-26",Data!$C:$C,"Revenue")</f>
        <v>1437707</v>
      </c>
      <c r="E88" s="14" t="n">
        <f aca="false">1-ABS(D88-C88)/D88</f>
        <v>0.970967658917985</v>
      </c>
    </row>
    <row r="89" customFormat="false" ht="15" hidden="false" customHeight="false" outlineLevel="0" collapsed="false">
      <c r="B89" s="12" t="s">
        <v>34</v>
      </c>
      <c r="C89" s="13" t="n">
        <f aca="false">SUMIFS(Data!$G:$G,Data!$A:$A,"May-26",Data!$C:$C,"Revenue")</f>
        <v>1277414</v>
      </c>
      <c r="D89" s="13" t="n">
        <f aca="false">SUMIFS(Data!$F:$F,Data!$A:$A,"May-26",Data!$C:$C,"Revenue")</f>
        <v>1292078</v>
      </c>
      <c r="E89" s="14" t="n">
        <f aca="false">1-ABS(D89-C89)/D89</f>
        <v>0.98865083996477</v>
      </c>
    </row>
    <row r="90" customFormat="false" ht="15" hidden="false" customHeight="false" outlineLevel="0" collapsed="false">
      <c r="B90" s="12" t="s">
        <v>35</v>
      </c>
      <c r="C90" s="13" t="n">
        <f aca="false">SUMIFS(Data!$G:$G,Data!$A:$A,"Jun-26",Data!$C:$C,"Revenue")</f>
        <v>1318244</v>
      </c>
      <c r="D90" s="13" t="n">
        <f aca="false">SUMIFS(Data!$F:$F,Data!$A:$A,"Jun-26",Data!$C:$C,"Revenue")</f>
        <v>1310101</v>
      </c>
      <c r="E90" s="14" t="n">
        <f aca="false">1-ABS(D90-C90)/D90</f>
        <v>0.993784448679911</v>
      </c>
    </row>
    <row r="91" customFormat="false" ht="15" hidden="false" customHeight="false" outlineLevel="0" collapsed="false">
      <c r="B91" s="12" t="s">
        <v>36</v>
      </c>
      <c r="C91" s="13" t="n">
        <f aca="false">SUMIFS(Data!$G:$G,Data!$A:$A,"Jul-26",Data!$C:$C,"Revenue")</f>
        <v>1347386</v>
      </c>
      <c r="D91" s="13" t="n">
        <f aca="false">SUMIFS(Data!$F:$F,Data!$A:$A,"Jul-26",Data!$C:$C,"Revenue")</f>
        <v>1279890</v>
      </c>
      <c r="E91" s="14" t="n">
        <f aca="false">1-ABS(D91-C91)/D91</f>
        <v>0.947264218018736</v>
      </c>
    </row>
    <row r="92" customFormat="false" ht="15" hidden="false" customHeight="false" outlineLevel="0" collapsed="false">
      <c r="B92" s="12" t="s">
        <v>37</v>
      </c>
      <c r="C92" s="13" t="n">
        <f aca="false">SUMIFS(Data!$G:$G,Data!$A:$A,"Aug-26",Data!$C:$C,"Revenue")</f>
        <v>1245053</v>
      </c>
      <c r="D92" s="13" t="n">
        <f aca="false">SUMIFS(Data!$F:$F,Data!$A:$A,"Aug-26",Data!$C:$C,"Revenue")</f>
        <v>1250876</v>
      </c>
      <c r="E92" s="14" t="n">
        <f aca="false">1-ABS(D92-C92)/D92</f>
        <v>0.995344862320486</v>
      </c>
    </row>
    <row r="93" customFormat="false" ht="15" hidden="false" customHeight="false" outlineLevel="0" collapsed="false">
      <c r="B93" s="12" t="s">
        <v>38</v>
      </c>
      <c r="C93" s="13" t="n">
        <f aca="false">SUMIFS(Data!$G:$G,Data!$A:$A,"Sep-26",Data!$C:$C,"Revenue")</f>
        <v>1109056</v>
      </c>
      <c r="D93" s="13" t="n">
        <f aca="false">SUMIFS(Data!$F:$F,Data!$A:$A,"Sep-26",Data!$C:$C,"Revenue")</f>
        <v>1096363</v>
      </c>
      <c r="E93" s="14" t="n">
        <f aca="false">1-ABS(D93-C93)/D93</f>
        <v>0.988422630096054</v>
      </c>
    </row>
    <row r="94" customFormat="false" ht="15" hidden="false" customHeight="false" outlineLevel="0" collapsed="false">
      <c r="B94" s="12" t="s">
        <v>39</v>
      </c>
      <c r="C94" s="13" t="n">
        <f aca="false">SUMIFS(Data!$G:$G,Data!$A:$A,"Oct-26",Data!$C:$C,"Revenue")</f>
        <v>1174899</v>
      </c>
      <c r="D94" s="13" t="n">
        <f aca="false">SUMIFS(Data!$F:$F,Data!$A:$A,"Oct-26",Data!$C:$C,"Revenue")</f>
        <v>1208719</v>
      </c>
      <c r="E94" s="14" t="n">
        <f aca="false">1-ABS(D94-C94)/D94</f>
        <v>0.972019964938087</v>
      </c>
    </row>
    <row r="95" customFormat="false" ht="15" hidden="false" customHeight="false" outlineLevel="0" collapsed="false">
      <c r="B95" s="12" t="s">
        <v>40</v>
      </c>
      <c r="C95" s="13" t="n">
        <f aca="false">SUMIFS(Data!$G:$G,Data!$A:$A,"Nov-26",Data!$C:$C,"Revenue")</f>
        <v>1324499</v>
      </c>
      <c r="D95" s="13" t="n">
        <f aca="false">SUMIFS(Data!$F:$F,Data!$A:$A,"Nov-26",Data!$C:$C,"Revenue")</f>
        <v>1311042</v>
      </c>
      <c r="E95" s="14" t="n">
        <f aca="false">1-ABS(D95-C95)/D95</f>
        <v>0.989735645387409</v>
      </c>
    </row>
    <row r="96" customFormat="false" ht="15" hidden="false" customHeight="false" outlineLevel="0" collapsed="false">
      <c r="B96" s="12" t="s">
        <v>41</v>
      </c>
      <c r="C96" s="13" t="n">
        <f aca="false">SUMIFS(Data!$G:$G,Data!$A:$A,"Dec-26",Data!$C:$C,"Revenue")</f>
        <v>1337048</v>
      </c>
      <c r="D96" s="13" t="n">
        <f aca="false">SUMIFS(Data!$F:$F,Data!$A:$A,"Dec-26",Data!$C:$C,"Revenue")</f>
        <v>1285152</v>
      </c>
      <c r="E96" s="14" t="n">
        <f aca="false">1-ABS(D96-C96)/D96</f>
        <v>0.959618784392819</v>
      </c>
    </row>
    <row r="99" customFormat="false" ht="15" hidden="false" customHeight="false" outlineLevel="0" collapsed="false">
      <c r="B99" s="10" t="s">
        <v>46</v>
      </c>
    </row>
    <row r="100" customFormat="false" ht="15" hidden="false" customHeight="false" outlineLevel="0" collapsed="false">
      <c r="B100" s="11" t="s">
        <v>47</v>
      </c>
      <c r="C100" s="11" t="s">
        <v>48</v>
      </c>
      <c r="D100" s="11" t="s">
        <v>16</v>
      </c>
      <c r="E100" s="11" t="s">
        <v>17</v>
      </c>
      <c r="F100" s="11" t="s">
        <v>49</v>
      </c>
    </row>
    <row r="101" customFormat="false" ht="15" hidden="false" customHeight="false" outlineLevel="0" collapsed="false">
      <c r="B101" s="12" t="s">
        <v>50</v>
      </c>
      <c r="C101" s="12" t="s">
        <v>51</v>
      </c>
      <c r="D101" s="13" t="n">
        <f aca="false">SUMIFS(Data!$E:$E,Data!$D:$D,"Retail Sales")</f>
        <v>12304203</v>
      </c>
      <c r="E101" s="13" t="n">
        <f aca="false">SUMIFS(Data!$F:$F,Data!$D:$D,"Retail Sales")</f>
        <v>12171664</v>
      </c>
      <c r="F101" s="14" t="n">
        <f aca="false">(E101-D101)/D101</f>
        <v>-0.0107718476361289</v>
      </c>
    </row>
    <row r="102" customFormat="false" ht="15" hidden="false" customHeight="false" outlineLevel="0" collapsed="false">
      <c r="B102" s="12" t="s">
        <v>52</v>
      </c>
      <c r="C102" s="12" t="s">
        <v>51</v>
      </c>
      <c r="D102" s="13" t="n">
        <f aca="false">SUMIFS(Data!$E:$E,Data!$D:$D,"Wholesale")</f>
        <v>8202806</v>
      </c>
      <c r="E102" s="13" t="n">
        <f aca="false">SUMIFS(Data!$F:$F,Data!$D:$D,"Wholesale")</f>
        <v>8252475</v>
      </c>
      <c r="F102" s="14" t="n">
        <f aca="false">(E102-D102)/D102</f>
        <v>0.00605512308836757</v>
      </c>
    </row>
    <row r="103" customFormat="false" ht="15" hidden="false" customHeight="false" outlineLevel="0" collapsed="false">
      <c r="B103" s="12" t="s">
        <v>53</v>
      </c>
      <c r="C103" s="12" t="s">
        <v>51</v>
      </c>
      <c r="D103" s="13" t="n">
        <f aca="false">SUMIFS(Data!$E:$E,Data!$D:$D,"Online Sales")</f>
        <v>5383091</v>
      </c>
      <c r="E103" s="13" t="n">
        <f aca="false">SUMIFS(Data!$F:$F,Data!$D:$D,"Online Sales")</f>
        <v>5429259</v>
      </c>
      <c r="F103" s="14" t="n">
        <f aca="false">(E103-D103)/D103</f>
        <v>0.00857648514580192</v>
      </c>
    </row>
    <row r="104" customFormat="false" ht="15" hidden="false" customHeight="false" outlineLevel="0" collapsed="false">
      <c r="B104" s="12" t="s">
        <v>54</v>
      </c>
      <c r="C104" s="12" t="s">
        <v>51</v>
      </c>
      <c r="D104" s="13" t="n">
        <f aca="false">SUMIFS(Data!$E:$E,Data!$D:$D,"Foodservice")</f>
        <v>3588728</v>
      </c>
      <c r="E104" s="13" t="n">
        <f aca="false">SUMIFS(Data!$F:$F,Data!$D:$D,"Foodservice")</f>
        <v>3631911</v>
      </c>
      <c r="F104" s="14" t="n">
        <f aca="false">(E104-D104)/D104</f>
        <v>0.0120329542946693</v>
      </c>
    </row>
    <row r="105" customFormat="false" ht="15" hidden="false" customHeight="false" outlineLevel="0" collapsed="false">
      <c r="B105" s="12" t="s">
        <v>55</v>
      </c>
      <c r="C105" s="12" t="s">
        <v>56</v>
      </c>
      <c r="D105" s="13" t="n">
        <f aca="false">SUMIFS(Data!$E:$E,Data!$D:$D,"Cost of Goods Sold")</f>
        <v>16661944</v>
      </c>
      <c r="E105" s="13" t="n">
        <f aca="false">SUMIFS(Data!$F:$F,Data!$D:$D,"Cost of Goods Sold")</f>
        <v>16675186</v>
      </c>
      <c r="F105" s="14" t="n">
        <f aca="false">(E105-D105)/D105</f>
        <v>0.000794745198999589</v>
      </c>
    </row>
    <row r="106" customFormat="false" ht="15" hidden="false" customHeight="false" outlineLevel="0" collapsed="false">
      <c r="B106" s="12" t="s">
        <v>57</v>
      </c>
      <c r="C106" s="12" t="s">
        <v>56</v>
      </c>
      <c r="D106" s="13" t="n">
        <f aca="false">SUMIFS(Data!$E:$E,Data!$D:$D,"Payroll")</f>
        <v>6152104</v>
      </c>
      <c r="E106" s="13" t="n">
        <f aca="false">SUMIFS(Data!$F:$F,Data!$D:$D,"Payroll")</f>
        <v>6124732</v>
      </c>
      <c r="F106" s="14" t="n">
        <f aca="false">(E106-D106)/D106</f>
        <v>-0.00444920957122962</v>
      </c>
    </row>
    <row r="107" customFormat="false" ht="15" hidden="false" customHeight="false" outlineLevel="0" collapsed="false">
      <c r="B107" s="12" t="s">
        <v>58</v>
      </c>
      <c r="C107" s="12" t="s">
        <v>56</v>
      </c>
      <c r="D107" s="13" t="n">
        <f aca="false">SUMIFS(Data!$E:$E,Data!$D:$D,"Marketing")</f>
        <v>1666194</v>
      </c>
      <c r="E107" s="13" t="n">
        <f aca="false">SUMIFS(Data!$F:$F,Data!$D:$D,"Marketing")</f>
        <v>1675875</v>
      </c>
      <c r="F107" s="14" t="n">
        <f aca="false">(E107-D107)/D107</f>
        <v>0.00581024778627219</v>
      </c>
    </row>
    <row r="108" customFormat="false" ht="15" hidden="false" customHeight="false" outlineLevel="0" collapsed="false">
      <c r="B108" s="12" t="s">
        <v>59</v>
      </c>
      <c r="C108" s="12" t="s">
        <v>56</v>
      </c>
      <c r="D108" s="13" t="n">
        <f aca="false">SUMIFS(Data!$E:$E,Data!$D:$D,"Logistics &amp; Distribution")</f>
        <v>2435207</v>
      </c>
      <c r="E108" s="13" t="n">
        <f aca="false">SUMIFS(Data!$F:$F,Data!$D:$D,"Logistics &amp; Distribution")</f>
        <v>2429586</v>
      </c>
      <c r="F108" s="14" t="n">
        <f aca="false">(E108-D108)/D108</f>
        <v>-0.00230822266854522</v>
      </c>
    </row>
    <row r="109" customFormat="false" ht="15" hidden="false" customHeight="false" outlineLevel="0" collapsed="false">
      <c r="B109" s="12" t="s">
        <v>60</v>
      </c>
      <c r="C109" s="12" t="s">
        <v>56</v>
      </c>
      <c r="D109" s="13" t="n">
        <f aca="false">SUMIFS(Data!$E:$E,Data!$D:$D,"Admin &amp; Overheads")</f>
        <v>1409858</v>
      </c>
      <c r="E109" s="13" t="n">
        <f aca="false">SUMIFS(Data!$F:$F,Data!$D:$D,"Admin &amp; Overheads")</f>
        <v>1396626</v>
      </c>
      <c r="F109" s="14" t="n">
        <f aca="false">(E109-D109)/D109</f>
        <v>-0.0093853423536271</v>
      </c>
    </row>
  </sheetData>
  <mergeCells count="16">
    <mergeCell ref="B8:C8"/>
    <mergeCell ref="E8:F8"/>
    <mergeCell ref="H8:I8"/>
    <mergeCell ref="K8:L8"/>
    <mergeCell ref="B9:C9"/>
    <mergeCell ref="E9:F9"/>
    <mergeCell ref="H9:I9"/>
    <mergeCell ref="K9:L9"/>
    <mergeCell ref="B11:C11"/>
    <mergeCell ref="E11:F11"/>
    <mergeCell ref="H11:I11"/>
    <mergeCell ref="K11:L11"/>
    <mergeCell ref="B12:C12"/>
    <mergeCell ref="E12:F12"/>
    <mergeCell ref="H12:I12"/>
    <mergeCell ref="K12:L12"/>
  </mergeCells>
  <conditionalFormatting sqref="H9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H12">
    <cfRule type="cellIs" priority="4" operator="lessThanOrEqual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K12">
    <cfRule type="cellIs" priority="6" operator="greaterThanOrEqual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E73">
    <cfRule type="cellIs" priority="8" operator="greaterThanOrEqual" aboveAverage="0" equalAverage="0" bottom="0" percent="0" rank="0" text="" dxfId="0">
      <formula>0.95</formula>
    </cfRule>
    <cfRule type="cellIs" priority="9" operator="lessThan" aboveAverage="0" equalAverage="0" bottom="0" percent="0" rank="0" text="" dxfId="1">
      <formula>0.9</formula>
    </cfRule>
  </conditionalFormatting>
  <conditionalFormatting sqref="E74">
    <cfRule type="cellIs" priority="10" operator="greaterThanOrEqual" aboveAverage="0" equalAverage="0" bottom="0" percent="0" rank="0" text="" dxfId="0">
      <formula>0.95</formula>
    </cfRule>
    <cfRule type="cellIs" priority="11" operator="lessThan" aboveAverage="0" equalAverage="0" bottom="0" percent="0" rank="0" text="" dxfId="1">
      <formula>0.9</formula>
    </cfRule>
  </conditionalFormatting>
  <conditionalFormatting sqref="E75">
    <cfRule type="cellIs" priority="12" operator="greaterThanOrEqual" aboveAverage="0" equalAverage="0" bottom="0" percent="0" rank="0" text="" dxfId="0">
      <formula>0.95</formula>
    </cfRule>
    <cfRule type="cellIs" priority="13" operator="lessThan" aboveAverage="0" equalAverage="0" bottom="0" percent="0" rank="0" text="" dxfId="1">
      <formula>0.9</formula>
    </cfRule>
  </conditionalFormatting>
  <conditionalFormatting sqref="E76">
    <cfRule type="cellIs" priority="14" operator="greaterThanOrEqual" aboveAverage="0" equalAverage="0" bottom="0" percent="0" rank="0" text="" dxfId="0">
      <formula>0.95</formula>
    </cfRule>
    <cfRule type="cellIs" priority="15" operator="lessThan" aboveAverage="0" equalAverage="0" bottom="0" percent="0" rank="0" text="" dxfId="1">
      <formula>0.9</formula>
    </cfRule>
  </conditionalFormatting>
  <conditionalFormatting sqref="E77">
    <cfRule type="cellIs" priority="16" operator="greaterThanOrEqual" aboveAverage="0" equalAverage="0" bottom="0" percent="0" rank="0" text="" dxfId="0">
      <formula>0.95</formula>
    </cfRule>
    <cfRule type="cellIs" priority="17" operator="lessThan" aboveAverage="0" equalAverage="0" bottom="0" percent="0" rank="0" text="" dxfId="1">
      <formula>0.9</formula>
    </cfRule>
  </conditionalFormatting>
  <conditionalFormatting sqref="E78">
    <cfRule type="cellIs" priority="18" operator="greaterThanOrEqual" aboveAverage="0" equalAverage="0" bottom="0" percent="0" rank="0" text="" dxfId="0">
      <formula>0.95</formula>
    </cfRule>
    <cfRule type="cellIs" priority="19" operator="lessThan" aboveAverage="0" equalAverage="0" bottom="0" percent="0" rank="0" text="" dxfId="1">
      <formula>0.9</formula>
    </cfRule>
  </conditionalFormatting>
  <conditionalFormatting sqref="E79">
    <cfRule type="cellIs" priority="20" operator="greaterThanOrEqual" aboveAverage="0" equalAverage="0" bottom="0" percent="0" rank="0" text="" dxfId="0">
      <formula>0.95</formula>
    </cfRule>
    <cfRule type="cellIs" priority="21" operator="lessThan" aboveAverage="0" equalAverage="0" bottom="0" percent="0" rank="0" text="" dxfId="1">
      <formula>0.9</formula>
    </cfRule>
  </conditionalFormatting>
  <conditionalFormatting sqref="E80">
    <cfRule type="cellIs" priority="22" operator="greaterThanOrEqual" aboveAverage="0" equalAverage="0" bottom="0" percent="0" rank="0" text="" dxfId="0">
      <formula>0.95</formula>
    </cfRule>
    <cfRule type="cellIs" priority="23" operator="lessThan" aboveAverage="0" equalAverage="0" bottom="0" percent="0" rank="0" text="" dxfId="1">
      <formula>0.9</formula>
    </cfRule>
  </conditionalFormatting>
  <conditionalFormatting sqref="E81">
    <cfRule type="cellIs" priority="24" operator="greaterThanOrEqual" aboveAverage="0" equalAverage="0" bottom="0" percent="0" rank="0" text="" dxfId="0">
      <formula>0.95</formula>
    </cfRule>
    <cfRule type="cellIs" priority="25" operator="lessThan" aboveAverage="0" equalAverage="0" bottom="0" percent="0" rank="0" text="" dxfId="1">
      <formula>0.9</formula>
    </cfRule>
  </conditionalFormatting>
  <conditionalFormatting sqref="E82">
    <cfRule type="cellIs" priority="26" operator="greaterThanOrEqual" aboveAverage="0" equalAverage="0" bottom="0" percent="0" rank="0" text="" dxfId="0">
      <formula>0.95</formula>
    </cfRule>
    <cfRule type="cellIs" priority="27" operator="lessThan" aboveAverage="0" equalAverage="0" bottom="0" percent="0" rank="0" text="" dxfId="1">
      <formula>0.9</formula>
    </cfRule>
  </conditionalFormatting>
  <conditionalFormatting sqref="E83">
    <cfRule type="cellIs" priority="28" operator="greaterThanOrEqual" aboveAverage="0" equalAverage="0" bottom="0" percent="0" rank="0" text="" dxfId="0">
      <formula>0.95</formula>
    </cfRule>
    <cfRule type="cellIs" priority="29" operator="lessThan" aboveAverage="0" equalAverage="0" bottom="0" percent="0" rank="0" text="" dxfId="1">
      <formula>0.9</formula>
    </cfRule>
  </conditionalFormatting>
  <conditionalFormatting sqref="E84">
    <cfRule type="cellIs" priority="30" operator="greaterThanOrEqual" aboveAverage="0" equalAverage="0" bottom="0" percent="0" rank="0" text="" dxfId="0">
      <formula>0.95</formula>
    </cfRule>
    <cfRule type="cellIs" priority="31" operator="lessThan" aboveAverage="0" equalAverage="0" bottom="0" percent="0" rank="0" text="" dxfId="1">
      <formula>0.9</formula>
    </cfRule>
  </conditionalFormatting>
  <conditionalFormatting sqref="E85">
    <cfRule type="cellIs" priority="32" operator="greaterThanOrEqual" aboveAverage="0" equalAverage="0" bottom="0" percent="0" rank="0" text="" dxfId="0">
      <formula>0.95</formula>
    </cfRule>
    <cfRule type="cellIs" priority="33" operator="lessThan" aboveAverage="0" equalAverage="0" bottom="0" percent="0" rank="0" text="" dxfId="1">
      <formula>0.9</formula>
    </cfRule>
  </conditionalFormatting>
  <conditionalFormatting sqref="E86">
    <cfRule type="cellIs" priority="34" operator="greaterThanOrEqual" aboveAverage="0" equalAverage="0" bottom="0" percent="0" rank="0" text="" dxfId="0">
      <formula>0.95</formula>
    </cfRule>
    <cfRule type="cellIs" priority="35" operator="lessThan" aboveAverage="0" equalAverage="0" bottom="0" percent="0" rank="0" text="" dxfId="1">
      <formula>0.9</formula>
    </cfRule>
  </conditionalFormatting>
  <conditionalFormatting sqref="E87">
    <cfRule type="cellIs" priority="36" operator="greaterThanOrEqual" aboveAverage="0" equalAverage="0" bottom="0" percent="0" rank="0" text="" dxfId="0">
      <formula>0.95</formula>
    </cfRule>
    <cfRule type="cellIs" priority="37" operator="lessThan" aboveAverage="0" equalAverage="0" bottom="0" percent="0" rank="0" text="" dxfId="1">
      <formula>0.9</formula>
    </cfRule>
  </conditionalFormatting>
  <conditionalFormatting sqref="E88">
    <cfRule type="cellIs" priority="38" operator="greaterThanOrEqual" aboveAverage="0" equalAverage="0" bottom="0" percent="0" rank="0" text="" dxfId="0">
      <formula>0.95</formula>
    </cfRule>
    <cfRule type="cellIs" priority="39" operator="lessThan" aboveAverage="0" equalAverage="0" bottom="0" percent="0" rank="0" text="" dxfId="1">
      <formula>0.9</formula>
    </cfRule>
  </conditionalFormatting>
  <conditionalFormatting sqref="E89">
    <cfRule type="cellIs" priority="40" operator="greaterThanOrEqual" aboveAverage="0" equalAverage="0" bottom="0" percent="0" rank="0" text="" dxfId="0">
      <formula>0.95</formula>
    </cfRule>
    <cfRule type="cellIs" priority="41" operator="lessThan" aboveAverage="0" equalAverage="0" bottom="0" percent="0" rank="0" text="" dxfId="1">
      <formula>0.9</formula>
    </cfRule>
  </conditionalFormatting>
  <conditionalFormatting sqref="E90">
    <cfRule type="cellIs" priority="42" operator="greaterThanOrEqual" aboveAverage="0" equalAverage="0" bottom="0" percent="0" rank="0" text="" dxfId="0">
      <formula>0.95</formula>
    </cfRule>
    <cfRule type="cellIs" priority="43" operator="lessThan" aboveAverage="0" equalAverage="0" bottom="0" percent="0" rank="0" text="" dxfId="1">
      <formula>0.9</formula>
    </cfRule>
  </conditionalFormatting>
  <conditionalFormatting sqref="E91">
    <cfRule type="cellIs" priority="44" operator="greaterThanOrEqual" aboveAverage="0" equalAverage="0" bottom="0" percent="0" rank="0" text="" dxfId="0">
      <formula>0.95</formula>
    </cfRule>
    <cfRule type="cellIs" priority="45" operator="lessThan" aboveAverage="0" equalAverage="0" bottom="0" percent="0" rank="0" text="" dxfId="1">
      <formula>0.9</formula>
    </cfRule>
  </conditionalFormatting>
  <conditionalFormatting sqref="E92">
    <cfRule type="cellIs" priority="46" operator="greaterThanOrEqual" aboveAverage="0" equalAverage="0" bottom="0" percent="0" rank="0" text="" dxfId="0">
      <formula>0.95</formula>
    </cfRule>
    <cfRule type="cellIs" priority="47" operator="lessThan" aboveAverage="0" equalAverage="0" bottom="0" percent="0" rank="0" text="" dxfId="1">
      <formula>0.9</formula>
    </cfRule>
  </conditionalFormatting>
  <conditionalFormatting sqref="E93">
    <cfRule type="cellIs" priority="48" operator="greaterThanOrEqual" aboveAverage="0" equalAverage="0" bottom="0" percent="0" rank="0" text="" dxfId="0">
      <formula>0.95</formula>
    </cfRule>
    <cfRule type="cellIs" priority="49" operator="lessThan" aboveAverage="0" equalAverage="0" bottom="0" percent="0" rank="0" text="" dxfId="1">
      <formula>0.9</formula>
    </cfRule>
  </conditionalFormatting>
  <conditionalFormatting sqref="E94">
    <cfRule type="cellIs" priority="50" operator="greaterThanOrEqual" aboveAverage="0" equalAverage="0" bottom="0" percent="0" rank="0" text="" dxfId="0">
      <formula>0.95</formula>
    </cfRule>
    <cfRule type="cellIs" priority="51" operator="lessThan" aboveAverage="0" equalAverage="0" bottom="0" percent="0" rank="0" text="" dxfId="1">
      <formula>0.9</formula>
    </cfRule>
  </conditionalFormatting>
  <conditionalFormatting sqref="E95">
    <cfRule type="cellIs" priority="52" operator="greaterThanOrEqual" aboveAverage="0" equalAverage="0" bottom="0" percent="0" rank="0" text="" dxfId="0">
      <formula>0.95</formula>
    </cfRule>
    <cfRule type="cellIs" priority="53" operator="lessThan" aboveAverage="0" equalAverage="0" bottom="0" percent="0" rank="0" text="" dxfId="1">
      <formula>0.9</formula>
    </cfRule>
  </conditionalFormatting>
  <conditionalFormatting sqref="E96">
    <cfRule type="cellIs" priority="54" operator="greaterThanOrEqual" aboveAverage="0" equalAverage="0" bottom="0" percent="0" rank="0" text="" dxfId="0">
      <formula>0.95</formula>
    </cfRule>
    <cfRule type="cellIs" priority="55" operator="lessThan" aboveAverage="0" equalAverage="0" bottom="0" percent="0" rank="0" text="" dxfId="1">
      <formula>0.9</formula>
    </cfRule>
  </conditionalFormatting>
  <conditionalFormatting sqref="F101">
    <cfRule type="cellIs" priority="56" operator="greaterThanOrEqual" aboveAverage="0" equalAverage="0" bottom="0" percent="0" rank="0" text="" dxfId="0">
      <formula>0</formula>
    </cfRule>
    <cfRule type="cellIs" priority="57" operator="lessThan" aboveAverage="0" equalAverage="0" bottom="0" percent="0" rank="0" text="" dxfId="1">
      <formula>0</formula>
    </cfRule>
  </conditionalFormatting>
  <conditionalFormatting sqref="F102">
    <cfRule type="cellIs" priority="58" operator="greaterThanOrEqual" aboveAverage="0" equalAverage="0" bottom="0" percent="0" rank="0" text="" dxfId="0">
      <formula>0</formula>
    </cfRule>
    <cfRule type="cellIs" priority="59" operator="lessThan" aboveAverage="0" equalAverage="0" bottom="0" percent="0" rank="0" text="" dxfId="1">
      <formula>0</formula>
    </cfRule>
  </conditionalFormatting>
  <conditionalFormatting sqref="F103">
    <cfRule type="cellIs" priority="60" operator="greaterThanOrEqual" aboveAverage="0" equalAverage="0" bottom="0" percent="0" rank="0" text="" dxfId="0">
      <formula>0</formula>
    </cfRule>
    <cfRule type="cellIs" priority="61" operator="lessThan" aboveAverage="0" equalAverage="0" bottom="0" percent="0" rank="0" text="" dxfId="1">
      <formula>0</formula>
    </cfRule>
  </conditionalFormatting>
  <conditionalFormatting sqref="F104">
    <cfRule type="cellIs" priority="62" operator="greaterThanOrEqual" aboveAverage="0" equalAverage="0" bottom="0" percent="0" rank="0" text="" dxfId="0">
      <formula>0</formula>
    </cfRule>
    <cfRule type="cellIs" priority="63" operator="lessThan" aboveAverage="0" equalAverage="0" bottom="0" percent="0" rank="0" text="" dxfId="1">
      <formula>0</formula>
    </cfRule>
  </conditionalFormatting>
  <conditionalFormatting sqref="F105">
    <cfRule type="cellIs" priority="64" operator="greaterThanOrEqual" aboveAverage="0" equalAverage="0" bottom="0" percent="0" rank="0" text="" dxfId="0">
      <formula>0</formula>
    </cfRule>
    <cfRule type="cellIs" priority="65" operator="lessThan" aboveAverage="0" equalAverage="0" bottom="0" percent="0" rank="0" text="" dxfId="1">
      <formula>0</formula>
    </cfRule>
  </conditionalFormatting>
  <conditionalFormatting sqref="F106">
    <cfRule type="cellIs" priority="66" operator="greaterThanOrEqual" aboveAverage="0" equalAverage="0" bottom="0" percent="0" rank="0" text="" dxfId="0">
      <formula>0</formula>
    </cfRule>
    <cfRule type="cellIs" priority="67" operator="lessThan" aboveAverage="0" equalAverage="0" bottom="0" percent="0" rank="0" text="" dxfId="1">
      <formula>0</formula>
    </cfRule>
  </conditionalFormatting>
  <conditionalFormatting sqref="F107">
    <cfRule type="cellIs" priority="68" operator="greaterThanOrEqual" aboveAverage="0" equalAverage="0" bottom="0" percent="0" rank="0" text="" dxfId="0">
      <formula>0</formula>
    </cfRule>
    <cfRule type="cellIs" priority="69" operator="lessThan" aboveAverage="0" equalAverage="0" bottom="0" percent="0" rank="0" text="" dxfId="1">
      <formula>0</formula>
    </cfRule>
  </conditionalFormatting>
  <conditionalFormatting sqref="F108">
    <cfRule type="cellIs" priority="70" operator="greaterThanOrEqual" aboveAverage="0" equalAverage="0" bottom="0" percent="0" rank="0" text="" dxfId="0">
      <formula>0</formula>
    </cfRule>
    <cfRule type="cellIs" priority="71" operator="lessThan" aboveAverage="0" equalAverage="0" bottom="0" percent="0" rank="0" text="" dxfId="1">
      <formula>0</formula>
    </cfRule>
  </conditionalFormatting>
  <conditionalFormatting sqref="F109">
    <cfRule type="cellIs" priority="72" operator="greaterThanOrEqual" aboveAverage="0" equalAverage="0" bottom="0" percent="0" rank="0" text="" dxfId="0">
      <formula>0</formula>
    </cfRule>
    <cfRule type="cellIs" priority="73" operator="lessThan" aboveAverage="0" equalAverage="0" bottom="0" percent="0" rank="0" text="" dxfId="1">
      <formula>0</formula>
    </cfRule>
  </conditionalFormatting>
  <dataValidations count="1">
    <dataValidation allowBlank="false" errorStyle="stop" operator="between" showDropDown="false" showErrorMessage="false" showInputMessage="false" sqref="C5" type="list">
      <formula1>"All,Jan-25,Feb-25,Mar-25,Apr-25,May-25,Jun-25,Jul-25,Aug-25,Sep-25,Oct-25,Nov-25,Dec-25,Jan-26,Feb-26,Mar-26,Apr-26,May-26,Jun-26,Jul-26,Aug-26,Sep-26,Oct-26,Nov-26,Dec-26"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7" min="5" style="0" width="12"/>
  </cols>
  <sheetData>
    <row r="1" customFormat="false" ht="15" hidden="false" customHeight="false" outlineLevel="0" collapsed="false">
      <c r="A1" s="11" t="s">
        <v>15</v>
      </c>
      <c r="B1" s="11" t="s">
        <v>61</v>
      </c>
      <c r="C1" s="11" t="s">
        <v>48</v>
      </c>
      <c r="D1" s="11" t="s">
        <v>47</v>
      </c>
      <c r="E1" s="11" t="s">
        <v>16</v>
      </c>
      <c r="F1" s="11" t="s">
        <v>17</v>
      </c>
      <c r="G1" s="11" t="s">
        <v>44</v>
      </c>
    </row>
    <row r="2" customFormat="false" ht="15" hidden="false" customHeight="false" outlineLevel="0" collapsed="false">
      <c r="A2" s="0" t="s">
        <v>18</v>
      </c>
      <c r="B2" s="0" t="n">
        <v>1</v>
      </c>
      <c r="C2" s="0" t="s">
        <v>51</v>
      </c>
      <c r="D2" s="0" t="s">
        <v>50</v>
      </c>
      <c r="E2" s="13" t="n">
        <v>491348</v>
      </c>
      <c r="F2" s="13" t="n">
        <v>489561</v>
      </c>
      <c r="G2" s="13" t="n">
        <v>487111</v>
      </c>
    </row>
    <row r="3" customFormat="false" ht="15" hidden="false" customHeight="false" outlineLevel="0" collapsed="false">
      <c r="A3" s="0" t="s">
        <v>18</v>
      </c>
      <c r="B3" s="0" t="n">
        <v>1</v>
      </c>
      <c r="C3" s="0" t="s">
        <v>51</v>
      </c>
      <c r="D3" s="0" t="s">
        <v>52</v>
      </c>
      <c r="E3" s="13" t="n">
        <v>327565</v>
      </c>
      <c r="F3" s="13" t="n">
        <v>351453</v>
      </c>
      <c r="G3" s="13" t="n">
        <v>331577</v>
      </c>
    </row>
    <row r="4" customFormat="false" ht="15" hidden="false" customHeight="false" outlineLevel="0" collapsed="false">
      <c r="A4" s="0" t="s">
        <v>18</v>
      </c>
      <c r="B4" s="0" t="n">
        <v>1</v>
      </c>
      <c r="C4" s="0" t="s">
        <v>51</v>
      </c>
      <c r="D4" s="0" t="s">
        <v>53</v>
      </c>
      <c r="E4" s="13" t="n">
        <v>214965</v>
      </c>
      <c r="F4" s="13" t="n">
        <v>226181</v>
      </c>
      <c r="G4" s="13" t="n">
        <v>208766</v>
      </c>
    </row>
    <row r="5" customFormat="false" ht="15" hidden="false" customHeight="false" outlineLevel="0" collapsed="false">
      <c r="A5" s="0" t="s">
        <v>18</v>
      </c>
      <c r="B5" s="0" t="n">
        <v>1</v>
      </c>
      <c r="C5" s="0" t="s">
        <v>51</v>
      </c>
      <c r="D5" s="0" t="s">
        <v>54</v>
      </c>
      <c r="E5" s="13" t="n">
        <v>143310</v>
      </c>
      <c r="F5" s="13" t="n">
        <v>141245</v>
      </c>
      <c r="G5" s="13" t="n">
        <v>139754</v>
      </c>
    </row>
    <row r="6" customFormat="false" ht="15" hidden="false" customHeight="false" outlineLevel="0" collapsed="false">
      <c r="A6" s="0" t="s">
        <v>18</v>
      </c>
      <c r="B6" s="0" t="n">
        <v>1</v>
      </c>
      <c r="C6" s="0" t="s">
        <v>56</v>
      </c>
      <c r="D6" s="0" t="s">
        <v>55</v>
      </c>
      <c r="E6" s="13" t="n">
        <v>665367</v>
      </c>
      <c r="F6" s="13" t="n">
        <v>710405</v>
      </c>
      <c r="G6" s="13" t="n">
        <v>710046</v>
      </c>
    </row>
    <row r="7" customFormat="false" ht="15" hidden="false" customHeight="false" outlineLevel="0" collapsed="false">
      <c r="A7" s="0" t="s">
        <v>18</v>
      </c>
      <c r="B7" s="0" t="n">
        <v>1</v>
      </c>
      <c r="C7" s="0" t="s">
        <v>56</v>
      </c>
      <c r="D7" s="0" t="s">
        <v>57</v>
      </c>
      <c r="E7" s="13" t="n">
        <v>245674</v>
      </c>
      <c r="F7" s="13" t="n">
        <v>236635</v>
      </c>
      <c r="G7" s="13" t="n">
        <v>249638</v>
      </c>
    </row>
    <row r="8" customFormat="false" ht="15" hidden="false" customHeight="false" outlineLevel="0" collapsed="false">
      <c r="A8" s="0" t="s">
        <v>18</v>
      </c>
      <c r="B8" s="0" t="n">
        <v>1</v>
      </c>
      <c r="C8" s="0" t="s">
        <v>56</v>
      </c>
      <c r="D8" s="0" t="s">
        <v>58</v>
      </c>
      <c r="E8" s="13" t="n">
        <v>66537</v>
      </c>
      <c r="F8" s="13" t="n">
        <v>72968</v>
      </c>
      <c r="G8" s="13" t="n">
        <v>70956</v>
      </c>
    </row>
    <row r="9" customFormat="false" ht="15" hidden="false" customHeight="false" outlineLevel="0" collapsed="false">
      <c r="A9" s="0" t="s">
        <v>18</v>
      </c>
      <c r="B9" s="0" t="n">
        <v>1</v>
      </c>
      <c r="C9" s="0" t="s">
        <v>56</v>
      </c>
      <c r="D9" s="0" t="s">
        <v>59</v>
      </c>
      <c r="E9" s="13" t="n">
        <v>97246</v>
      </c>
      <c r="F9" s="13" t="n">
        <v>101283</v>
      </c>
      <c r="G9" s="13" t="n">
        <v>99468</v>
      </c>
    </row>
    <row r="10" customFormat="false" ht="15" hidden="false" customHeight="false" outlineLevel="0" collapsed="false">
      <c r="A10" s="0" t="s">
        <v>18</v>
      </c>
      <c r="B10" s="0" t="n">
        <v>1</v>
      </c>
      <c r="C10" s="0" t="s">
        <v>56</v>
      </c>
      <c r="D10" s="0" t="s">
        <v>60</v>
      </c>
      <c r="E10" s="13" t="n">
        <v>56300</v>
      </c>
      <c r="F10" s="13" t="n">
        <v>56849</v>
      </c>
      <c r="G10" s="13" t="n">
        <v>57434</v>
      </c>
    </row>
    <row r="11" customFormat="false" ht="15" hidden="false" customHeight="false" outlineLevel="0" collapsed="false">
      <c r="A11" s="0" t="s">
        <v>19</v>
      </c>
      <c r="B11" s="0" t="n">
        <v>2</v>
      </c>
      <c r="C11" s="0" t="s">
        <v>51</v>
      </c>
      <c r="D11" s="0" t="s">
        <v>50</v>
      </c>
      <c r="E11" s="13" t="n">
        <v>511219</v>
      </c>
      <c r="F11" s="13" t="n">
        <v>465576</v>
      </c>
      <c r="G11" s="13" t="n">
        <v>466917</v>
      </c>
    </row>
    <row r="12" customFormat="false" ht="15" hidden="false" customHeight="false" outlineLevel="0" collapsed="false">
      <c r="A12" s="0" t="s">
        <v>19</v>
      </c>
      <c r="B12" s="0" t="n">
        <v>2</v>
      </c>
      <c r="C12" s="0" t="s">
        <v>51</v>
      </c>
      <c r="D12" s="0" t="s">
        <v>52</v>
      </c>
      <c r="E12" s="13" t="n">
        <v>340813</v>
      </c>
      <c r="F12" s="13" t="n">
        <v>315480</v>
      </c>
      <c r="G12" s="13" t="n">
        <v>301434</v>
      </c>
    </row>
    <row r="13" customFormat="false" ht="15" hidden="false" customHeight="false" outlineLevel="0" collapsed="false">
      <c r="A13" s="0" t="s">
        <v>19</v>
      </c>
      <c r="B13" s="0" t="n">
        <v>2</v>
      </c>
      <c r="C13" s="0" t="s">
        <v>51</v>
      </c>
      <c r="D13" s="0" t="s">
        <v>53</v>
      </c>
      <c r="E13" s="13" t="n">
        <v>223658</v>
      </c>
      <c r="F13" s="13" t="n">
        <v>216492</v>
      </c>
      <c r="G13" s="13" t="n">
        <v>197162</v>
      </c>
    </row>
    <row r="14" customFormat="false" ht="15" hidden="false" customHeight="false" outlineLevel="0" collapsed="false">
      <c r="A14" s="0" t="s">
        <v>19</v>
      </c>
      <c r="B14" s="0" t="n">
        <v>2</v>
      </c>
      <c r="C14" s="0" t="s">
        <v>51</v>
      </c>
      <c r="D14" s="0" t="s">
        <v>54</v>
      </c>
      <c r="E14" s="13" t="n">
        <v>149106</v>
      </c>
      <c r="F14" s="13" t="n">
        <v>133695</v>
      </c>
      <c r="G14" s="13" t="n">
        <v>135090</v>
      </c>
    </row>
    <row r="15" customFormat="false" ht="15" hidden="false" customHeight="false" outlineLevel="0" collapsed="false">
      <c r="A15" s="0" t="s">
        <v>19</v>
      </c>
      <c r="B15" s="0" t="n">
        <v>2</v>
      </c>
      <c r="C15" s="0" t="s">
        <v>56</v>
      </c>
      <c r="D15" s="0" t="s">
        <v>55</v>
      </c>
      <c r="E15" s="13" t="n">
        <v>692276</v>
      </c>
      <c r="F15" s="13" t="n">
        <v>719032</v>
      </c>
      <c r="G15" s="13" t="n">
        <v>743540</v>
      </c>
    </row>
    <row r="16" customFormat="false" ht="15" hidden="false" customHeight="false" outlineLevel="0" collapsed="false">
      <c r="A16" s="0" t="s">
        <v>19</v>
      </c>
      <c r="B16" s="0" t="n">
        <v>2</v>
      </c>
      <c r="C16" s="0" t="s">
        <v>56</v>
      </c>
      <c r="D16" s="0" t="s">
        <v>57</v>
      </c>
      <c r="E16" s="13" t="n">
        <v>255610</v>
      </c>
      <c r="F16" s="13" t="n">
        <v>248493</v>
      </c>
      <c r="G16" s="13" t="n">
        <v>255423</v>
      </c>
    </row>
    <row r="17" customFormat="false" ht="15" hidden="false" customHeight="false" outlineLevel="0" collapsed="false">
      <c r="A17" s="0" t="s">
        <v>19</v>
      </c>
      <c r="B17" s="0" t="n">
        <v>2</v>
      </c>
      <c r="C17" s="0" t="s">
        <v>56</v>
      </c>
      <c r="D17" s="0" t="s">
        <v>58</v>
      </c>
      <c r="E17" s="13" t="n">
        <v>69228</v>
      </c>
      <c r="F17" s="13" t="n">
        <v>75740</v>
      </c>
      <c r="G17" s="13" t="n">
        <v>79311</v>
      </c>
    </row>
    <row r="18" customFormat="false" ht="15" hidden="false" customHeight="false" outlineLevel="0" collapsed="false">
      <c r="A18" s="0" t="s">
        <v>19</v>
      </c>
      <c r="B18" s="0" t="n">
        <v>2</v>
      </c>
      <c r="C18" s="0" t="s">
        <v>56</v>
      </c>
      <c r="D18" s="0" t="s">
        <v>59</v>
      </c>
      <c r="E18" s="13" t="n">
        <v>101179</v>
      </c>
      <c r="F18" s="13" t="n">
        <v>92777</v>
      </c>
      <c r="G18" s="13" t="n">
        <v>86293</v>
      </c>
    </row>
    <row r="19" customFormat="false" ht="15" hidden="false" customHeight="false" outlineLevel="0" collapsed="false">
      <c r="A19" s="0" t="s">
        <v>19</v>
      </c>
      <c r="B19" s="0" t="n">
        <v>2</v>
      </c>
      <c r="C19" s="0" t="s">
        <v>56</v>
      </c>
      <c r="D19" s="0" t="s">
        <v>60</v>
      </c>
      <c r="E19" s="13" t="n">
        <v>58577</v>
      </c>
      <c r="F19" s="13" t="n">
        <v>59993</v>
      </c>
      <c r="G19" s="13" t="n">
        <v>62979</v>
      </c>
    </row>
    <row r="20" customFormat="false" ht="15" hidden="false" customHeight="false" outlineLevel="0" collapsed="false">
      <c r="A20" s="0" t="s">
        <v>20</v>
      </c>
      <c r="B20" s="0" t="n">
        <v>3</v>
      </c>
      <c r="C20" s="0" t="s">
        <v>51</v>
      </c>
      <c r="D20" s="0" t="s">
        <v>50</v>
      </c>
      <c r="E20" s="13" t="n">
        <v>523653</v>
      </c>
      <c r="F20" s="13" t="n">
        <v>522780</v>
      </c>
      <c r="G20" s="13" t="n">
        <v>545189</v>
      </c>
    </row>
    <row r="21" customFormat="false" ht="15" hidden="false" customHeight="false" outlineLevel="0" collapsed="false">
      <c r="A21" s="0" t="s">
        <v>20</v>
      </c>
      <c r="B21" s="0" t="n">
        <v>3</v>
      </c>
      <c r="C21" s="0" t="s">
        <v>51</v>
      </c>
      <c r="D21" s="0" t="s">
        <v>52</v>
      </c>
      <c r="E21" s="13" t="n">
        <v>349102</v>
      </c>
      <c r="F21" s="13" t="n">
        <v>355088</v>
      </c>
      <c r="G21" s="13" t="n">
        <v>358669</v>
      </c>
    </row>
    <row r="22" customFormat="false" ht="15" hidden="false" customHeight="false" outlineLevel="0" collapsed="false">
      <c r="A22" s="0" t="s">
        <v>20</v>
      </c>
      <c r="B22" s="0" t="n">
        <v>3</v>
      </c>
      <c r="C22" s="0" t="s">
        <v>51</v>
      </c>
      <c r="D22" s="0" t="s">
        <v>53</v>
      </c>
      <c r="E22" s="13" t="n">
        <v>229098</v>
      </c>
      <c r="F22" s="13" t="n">
        <v>233856</v>
      </c>
      <c r="G22" s="13" t="n">
        <v>236179</v>
      </c>
    </row>
    <row r="23" customFormat="false" ht="15" hidden="false" customHeight="false" outlineLevel="0" collapsed="false">
      <c r="A23" s="0" t="s">
        <v>20</v>
      </c>
      <c r="B23" s="0" t="n">
        <v>3</v>
      </c>
      <c r="C23" s="0" t="s">
        <v>51</v>
      </c>
      <c r="D23" s="0" t="s">
        <v>54</v>
      </c>
      <c r="E23" s="13" t="n">
        <v>152732</v>
      </c>
      <c r="F23" s="13" t="n">
        <v>148207</v>
      </c>
      <c r="G23" s="13" t="n">
        <v>160516</v>
      </c>
    </row>
    <row r="24" customFormat="false" ht="15" hidden="false" customHeight="false" outlineLevel="0" collapsed="false">
      <c r="A24" s="0" t="s">
        <v>20</v>
      </c>
      <c r="B24" s="0" t="n">
        <v>3</v>
      </c>
      <c r="C24" s="0" t="s">
        <v>56</v>
      </c>
      <c r="D24" s="0" t="s">
        <v>55</v>
      </c>
      <c r="E24" s="13" t="n">
        <v>709114</v>
      </c>
      <c r="F24" s="13" t="n">
        <v>748262</v>
      </c>
      <c r="G24" s="13" t="n">
        <v>731563</v>
      </c>
    </row>
    <row r="25" customFormat="false" ht="15" hidden="false" customHeight="false" outlineLevel="0" collapsed="false">
      <c r="A25" s="0" t="s">
        <v>20</v>
      </c>
      <c r="B25" s="0" t="n">
        <v>3</v>
      </c>
      <c r="C25" s="0" t="s">
        <v>56</v>
      </c>
      <c r="D25" s="0" t="s">
        <v>57</v>
      </c>
      <c r="E25" s="13" t="n">
        <v>261827</v>
      </c>
      <c r="F25" s="13" t="n">
        <v>257346</v>
      </c>
      <c r="G25" s="13" t="n">
        <v>246627</v>
      </c>
    </row>
    <row r="26" customFormat="false" ht="15" hidden="false" customHeight="false" outlineLevel="0" collapsed="false">
      <c r="A26" s="0" t="s">
        <v>20</v>
      </c>
      <c r="B26" s="0" t="n">
        <v>3</v>
      </c>
      <c r="C26" s="0" t="s">
        <v>56</v>
      </c>
      <c r="D26" s="0" t="s">
        <v>58</v>
      </c>
      <c r="E26" s="13" t="n">
        <v>70911</v>
      </c>
      <c r="F26" s="13" t="n">
        <v>72955</v>
      </c>
      <c r="G26" s="13" t="n">
        <v>68790</v>
      </c>
    </row>
    <row r="27" customFormat="false" ht="15" hidden="false" customHeight="false" outlineLevel="0" collapsed="false">
      <c r="A27" s="0" t="s">
        <v>20</v>
      </c>
      <c r="B27" s="0" t="n">
        <v>3</v>
      </c>
      <c r="C27" s="0" t="s">
        <v>56</v>
      </c>
      <c r="D27" s="0" t="s">
        <v>59</v>
      </c>
      <c r="E27" s="13" t="n">
        <v>103640</v>
      </c>
      <c r="F27" s="13" t="n">
        <v>101567</v>
      </c>
      <c r="G27" s="13" t="n">
        <v>104603</v>
      </c>
    </row>
    <row r="28" customFormat="false" ht="15" hidden="false" customHeight="false" outlineLevel="0" collapsed="false">
      <c r="A28" s="0" t="s">
        <v>20</v>
      </c>
      <c r="B28" s="0" t="n">
        <v>3</v>
      </c>
      <c r="C28" s="0" t="s">
        <v>56</v>
      </c>
      <c r="D28" s="0" t="s">
        <v>60</v>
      </c>
      <c r="E28" s="13" t="n">
        <v>60002</v>
      </c>
      <c r="F28" s="13" t="n">
        <v>62019</v>
      </c>
      <c r="G28" s="13" t="n">
        <v>63442</v>
      </c>
    </row>
    <row r="29" customFormat="false" ht="15" hidden="false" customHeight="false" outlineLevel="0" collapsed="false">
      <c r="A29" s="0" t="s">
        <v>21</v>
      </c>
      <c r="B29" s="0" t="n">
        <v>4</v>
      </c>
      <c r="C29" s="0" t="s">
        <v>51</v>
      </c>
      <c r="D29" s="0" t="s">
        <v>50</v>
      </c>
      <c r="E29" s="13" t="n">
        <v>525985</v>
      </c>
      <c r="F29" s="13" t="n">
        <v>482506</v>
      </c>
      <c r="G29" s="13" t="n">
        <v>499109</v>
      </c>
    </row>
    <row r="30" customFormat="false" ht="15" hidden="false" customHeight="false" outlineLevel="0" collapsed="false">
      <c r="A30" s="0" t="s">
        <v>21</v>
      </c>
      <c r="B30" s="0" t="n">
        <v>4</v>
      </c>
      <c r="C30" s="0" t="s">
        <v>51</v>
      </c>
      <c r="D30" s="0" t="s">
        <v>52</v>
      </c>
      <c r="E30" s="13" t="n">
        <v>350657</v>
      </c>
      <c r="F30" s="13" t="n">
        <v>347358</v>
      </c>
      <c r="G30" s="13" t="n">
        <v>368064</v>
      </c>
    </row>
    <row r="31" customFormat="false" ht="15" hidden="false" customHeight="false" outlineLevel="0" collapsed="false">
      <c r="A31" s="0" t="s">
        <v>21</v>
      </c>
      <c r="B31" s="0" t="n">
        <v>4</v>
      </c>
      <c r="C31" s="0" t="s">
        <v>51</v>
      </c>
      <c r="D31" s="0" t="s">
        <v>53</v>
      </c>
      <c r="E31" s="13" t="n">
        <v>230119</v>
      </c>
      <c r="F31" s="13" t="n">
        <v>225666</v>
      </c>
      <c r="G31" s="13" t="n">
        <v>242722</v>
      </c>
    </row>
    <row r="32" customFormat="false" ht="15" hidden="false" customHeight="false" outlineLevel="0" collapsed="false">
      <c r="A32" s="0" t="s">
        <v>21</v>
      </c>
      <c r="B32" s="0" t="n">
        <v>4</v>
      </c>
      <c r="C32" s="0" t="s">
        <v>51</v>
      </c>
      <c r="D32" s="0" t="s">
        <v>54</v>
      </c>
      <c r="E32" s="13" t="n">
        <v>153412</v>
      </c>
      <c r="F32" s="13" t="n">
        <v>157871</v>
      </c>
      <c r="G32" s="13" t="n">
        <v>163182</v>
      </c>
    </row>
    <row r="33" customFormat="false" ht="15" hidden="false" customHeight="false" outlineLevel="0" collapsed="false">
      <c r="A33" s="0" t="s">
        <v>21</v>
      </c>
      <c r="B33" s="0" t="n">
        <v>4</v>
      </c>
      <c r="C33" s="0" t="s">
        <v>56</v>
      </c>
      <c r="D33" s="0" t="s">
        <v>55</v>
      </c>
      <c r="E33" s="13" t="n">
        <v>712272</v>
      </c>
      <c r="F33" s="13" t="n">
        <v>695496</v>
      </c>
      <c r="G33" s="13" t="n">
        <v>684193</v>
      </c>
    </row>
    <row r="34" customFormat="false" ht="15" hidden="false" customHeight="false" outlineLevel="0" collapsed="false">
      <c r="A34" s="0" t="s">
        <v>21</v>
      </c>
      <c r="B34" s="0" t="n">
        <v>4</v>
      </c>
      <c r="C34" s="0" t="s">
        <v>56</v>
      </c>
      <c r="D34" s="0" t="s">
        <v>57</v>
      </c>
      <c r="E34" s="13" t="n">
        <v>262993</v>
      </c>
      <c r="F34" s="13" t="n">
        <v>256904</v>
      </c>
      <c r="G34" s="13" t="n">
        <v>267190</v>
      </c>
    </row>
    <row r="35" customFormat="false" ht="15" hidden="false" customHeight="false" outlineLevel="0" collapsed="false">
      <c r="A35" s="0" t="s">
        <v>21</v>
      </c>
      <c r="B35" s="0" t="n">
        <v>4</v>
      </c>
      <c r="C35" s="0" t="s">
        <v>56</v>
      </c>
      <c r="D35" s="0" t="s">
        <v>58</v>
      </c>
      <c r="E35" s="13" t="n">
        <v>71227</v>
      </c>
      <c r="F35" s="13" t="n">
        <v>69314</v>
      </c>
      <c r="G35" s="13" t="n">
        <v>68992</v>
      </c>
    </row>
    <row r="36" customFormat="false" ht="15" hidden="false" customHeight="false" outlineLevel="0" collapsed="false">
      <c r="A36" s="0" t="s">
        <v>21</v>
      </c>
      <c r="B36" s="0" t="n">
        <v>4</v>
      </c>
      <c r="C36" s="0" t="s">
        <v>56</v>
      </c>
      <c r="D36" s="0" t="s">
        <v>59</v>
      </c>
      <c r="E36" s="13" t="n">
        <v>104101</v>
      </c>
      <c r="F36" s="13" t="n">
        <v>111403</v>
      </c>
      <c r="G36" s="13" t="n">
        <v>113701</v>
      </c>
    </row>
    <row r="37" customFormat="false" ht="15" hidden="false" customHeight="false" outlineLevel="0" collapsed="false">
      <c r="A37" s="0" t="s">
        <v>21</v>
      </c>
      <c r="B37" s="0" t="n">
        <v>4</v>
      </c>
      <c r="C37" s="0" t="s">
        <v>56</v>
      </c>
      <c r="D37" s="0" t="s">
        <v>60</v>
      </c>
      <c r="E37" s="13" t="n">
        <v>60269</v>
      </c>
      <c r="F37" s="13" t="n">
        <v>59337</v>
      </c>
      <c r="G37" s="13" t="n">
        <v>60013</v>
      </c>
    </row>
    <row r="38" customFormat="false" ht="15" hidden="false" customHeight="false" outlineLevel="0" collapsed="false">
      <c r="A38" s="0" t="s">
        <v>22</v>
      </c>
      <c r="B38" s="0" t="n">
        <v>5</v>
      </c>
      <c r="C38" s="0" t="s">
        <v>51</v>
      </c>
      <c r="D38" s="0" t="s">
        <v>50</v>
      </c>
      <c r="E38" s="13" t="n">
        <v>518242</v>
      </c>
      <c r="F38" s="13" t="n">
        <v>467288</v>
      </c>
      <c r="G38" s="13" t="n">
        <v>435555</v>
      </c>
    </row>
    <row r="39" customFormat="false" ht="15" hidden="false" customHeight="false" outlineLevel="0" collapsed="false">
      <c r="A39" s="0" t="s">
        <v>22</v>
      </c>
      <c r="B39" s="0" t="n">
        <v>5</v>
      </c>
      <c r="C39" s="0" t="s">
        <v>51</v>
      </c>
      <c r="D39" s="0" t="s">
        <v>52</v>
      </c>
      <c r="E39" s="13" t="n">
        <v>345495</v>
      </c>
      <c r="F39" s="13" t="n">
        <v>355999</v>
      </c>
      <c r="G39" s="13" t="n">
        <v>400133</v>
      </c>
    </row>
    <row r="40" customFormat="false" ht="15" hidden="false" customHeight="false" outlineLevel="0" collapsed="false">
      <c r="A40" s="0" t="s">
        <v>22</v>
      </c>
      <c r="B40" s="0" t="n">
        <v>5</v>
      </c>
      <c r="C40" s="0" t="s">
        <v>51</v>
      </c>
      <c r="D40" s="0" t="s">
        <v>53</v>
      </c>
      <c r="E40" s="13" t="n">
        <v>226731</v>
      </c>
      <c r="F40" s="13" t="n">
        <v>258645</v>
      </c>
      <c r="G40" s="13" t="n">
        <v>287974</v>
      </c>
    </row>
    <row r="41" customFormat="false" ht="15" hidden="false" customHeight="false" outlineLevel="0" collapsed="false">
      <c r="A41" s="0" t="s">
        <v>22</v>
      </c>
      <c r="B41" s="0" t="n">
        <v>5</v>
      </c>
      <c r="C41" s="0" t="s">
        <v>51</v>
      </c>
      <c r="D41" s="0" t="s">
        <v>54</v>
      </c>
      <c r="E41" s="13" t="n">
        <v>151154</v>
      </c>
      <c r="F41" s="13" t="n">
        <v>157190</v>
      </c>
      <c r="G41" s="13" t="n">
        <v>153465</v>
      </c>
    </row>
    <row r="42" customFormat="false" ht="15" hidden="false" customHeight="false" outlineLevel="0" collapsed="false">
      <c r="A42" s="0" t="s">
        <v>22</v>
      </c>
      <c r="B42" s="0" t="n">
        <v>5</v>
      </c>
      <c r="C42" s="0" t="s">
        <v>56</v>
      </c>
      <c r="D42" s="0" t="s">
        <v>55</v>
      </c>
      <c r="E42" s="13" t="n">
        <v>701787</v>
      </c>
      <c r="F42" s="13" t="n">
        <v>746766</v>
      </c>
      <c r="G42" s="13" t="n">
        <v>711085</v>
      </c>
    </row>
    <row r="43" customFormat="false" ht="15" hidden="false" customHeight="false" outlineLevel="0" collapsed="false">
      <c r="A43" s="0" t="s">
        <v>22</v>
      </c>
      <c r="B43" s="0" t="n">
        <v>5</v>
      </c>
      <c r="C43" s="0" t="s">
        <v>56</v>
      </c>
      <c r="D43" s="0" t="s">
        <v>57</v>
      </c>
      <c r="E43" s="13" t="n">
        <v>259121</v>
      </c>
      <c r="F43" s="13" t="n">
        <v>214661</v>
      </c>
      <c r="G43" s="13" t="n">
        <v>218303</v>
      </c>
    </row>
    <row r="44" customFormat="false" ht="15" hidden="false" customHeight="false" outlineLevel="0" collapsed="false">
      <c r="A44" s="0" t="s">
        <v>22</v>
      </c>
      <c r="B44" s="0" t="n">
        <v>5</v>
      </c>
      <c r="C44" s="0" t="s">
        <v>56</v>
      </c>
      <c r="D44" s="0" t="s">
        <v>58</v>
      </c>
      <c r="E44" s="13" t="n">
        <v>70179</v>
      </c>
      <c r="F44" s="13" t="n">
        <v>74531</v>
      </c>
      <c r="G44" s="13" t="n">
        <v>76633</v>
      </c>
    </row>
    <row r="45" customFormat="false" ht="15" hidden="false" customHeight="false" outlineLevel="0" collapsed="false">
      <c r="A45" s="0" t="s">
        <v>22</v>
      </c>
      <c r="B45" s="0" t="n">
        <v>5</v>
      </c>
      <c r="C45" s="0" t="s">
        <v>56</v>
      </c>
      <c r="D45" s="0" t="s">
        <v>59</v>
      </c>
      <c r="E45" s="13" t="n">
        <v>102569</v>
      </c>
      <c r="F45" s="13" t="n">
        <v>112109</v>
      </c>
      <c r="G45" s="13" t="n">
        <v>115542</v>
      </c>
    </row>
    <row r="46" customFormat="false" ht="15" hidden="false" customHeight="false" outlineLevel="0" collapsed="false">
      <c r="A46" s="0" t="s">
        <v>22</v>
      </c>
      <c r="B46" s="0" t="n">
        <v>5</v>
      </c>
      <c r="C46" s="0" t="s">
        <v>56</v>
      </c>
      <c r="D46" s="0" t="s">
        <v>60</v>
      </c>
      <c r="E46" s="13" t="n">
        <v>59382</v>
      </c>
      <c r="F46" s="13" t="n">
        <v>60616</v>
      </c>
      <c r="G46" s="13" t="n">
        <v>58061</v>
      </c>
    </row>
    <row r="47" customFormat="false" ht="15" hidden="false" customHeight="false" outlineLevel="0" collapsed="false">
      <c r="A47" s="0" t="s">
        <v>23</v>
      </c>
      <c r="B47" s="0" t="n">
        <v>6</v>
      </c>
      <c r="C47" s="0" t="s">
        <v>51</v>
      </c>
      <c r="D47" s="0" t="s">
        <v>50</v>
      </c>
      <c r="E47" s="13" t="n">
        <v>503170</v>
      </c>
      <c r="F47" s="13" t="n">
        <v>498609</v>
      </c>
      <c r="G47" s="13" t="n">
        <v>472101</v>
      </c>
    </row>
    <row r="48" customFormat="false" ht="15" hidden="false" customHeight="false" outlineLevel="0" collapsed="false">
      <c r="A48" s="0" t="s">
        <v>23</v>
      </c>
      <c r="B48" s="0" t="n">
        <v>6</v>
      </c>
      <c r="C48" s="0" t="s">
        <v>51</v>
      </c>
      <c r="D48" s="0" t="s">
        <v>52</v>
      </c>
      <c r="E48" s="13" t="n">
        <v>335447</v>
      </c>
      <c r="F48" s="13" t="n">
        <v>326786</v>
      </c>
      <c r="G48" s="13" t="n">
        <v>354767</v>
      </c>
    </row>
    <row r="49" customFormat="false" ht="15" hidden="false" customHeight="false" outlineLevel="0" collapsed="false">
      <c r="A49" s="0" t="s">
        <v>23</v>
      </c>
      <c r="B49" s="0" t="n">
        <v>6</v>
      </c>
      <c r="C49" s="0" t="s">
        <v>51</v>
      </c>
      <c r="D49" s="0" t="s">
        <v>53</v>
      </c>
      <c r="E49" s="13" t="n">
        <v>220137</v>
      </c>
      <c r="F49" s="13" t="n">
        <v>223376</v>
      </c>
      <c r="G49" s="13" t="n">
        <v>227163</v>
      </c>
    </row>
    <row r="50" customFormat="false" ht="15" hidden="false" customHeight="false" outlineLevel="0" collapsed="false">
      <c r="A50" s="0" t="s">
        <v>23</v>
      </c>
      <c r="B50" s="0" t="n">
        <v>6</v>
      </c>
      <c r="C50" s="0" t="s">
        <v>51</v>
      </c>
      <c r="D50" s="0" t="s">
        <v>54</v>
      </c>
      <c r="E50" s="13" t="n">
        <v>146758</v>
      </c>
      <c r="F50" s="13" t="n">
        <v>139629</v>
      </c>
      <c r="G50" s="13" t="n">
        <v>155983</v>
      </c>
    </row>
    <row r="51" customFormat="false" ht="15" hidden="false" customHeight="false" outlineLevel="0" collapsed="false">
      <c r="A51" s="0" t="s">
        <v>23</v>
      </c>
      <c r="B51" s="0" t="n">
        <v>6</v>
      </c>
      <c r="C51" s="0" t="s">
        <v>56</v>
      </c>
      <c r="D51" s="0" t="s">
        <v>55</v>
      </c>
      <c r="E51" s="13" t="n">
        <v>681376</v>
      </c>
      <c r="F51" s="13" t="n">
        <v>600295</v>
      </c>
      <c r="G51" s="13" t="n">
        <v>578039</v>
      </c>
    </row>
    <row r="52" customFormat="false" ht="15" hidden="false" customHeight="false" outlineLevel="0" collapsed="false">
      <c r="A52" s="0" t="s">
        <v>23</v>
      </c>
      <c r="B52" s="0" t="n">
        <v>6</v>
      </c>
      <c r="C52" s="0" t="s">
        <v>56</v>
      </c>
      <c r="D52" s="0" t="s">
        <v>57</v>
      </c>
      <c r="E52" s="13" t="n">
        <v>251585</v>
      </c>
      <c r="F52" s="13" t="n">
        <v>265864</v>
      </c>
      <c r="G52" s="13" t="n">
        <v>257881</v>
      </c>
    </row>
    <row r="53" customFormat="false" ht="15" hidden="false" customHeight="false" outlineLevel="0" collapsed="false">
      <c r="A53" s="0" t="s">
        <v>23</v>
      </c>
      <c r="B53" s="0" t="n">
        <v>6</v>
      </c>
      <c r="C53" s="0" t="s">
        <v>56</v>
      </c>
      <c r="D53" s="0" t="s">
        <v>58</v>
      </c>
      <c r="E53" s="13" t="n">
        <v>68138</v>
      </c>
      <c r="F53" s="13" t="n">
        <v>64891</v>
      </c>
      <c r="G53" s="13" t="n">
        <v>66210</v>
      </c>
    </row>
    <row r="54" customFormat="false" ht="15" hidden="false" customHeight="false" outlineLevel="0" collapsed="false">
      <c r="A54" s="0" t="s">
        <v>23</v>
      </c>
      <c r="B54" s="0" t="n">
        <v>6</v>
      </c>
      <c r="C54" s="0" t="s">
        <v>56</v>
      </c>
      <c r="D54" s="0" t="s">
        <v>59</v>
      </c>
      <c r="E54" s="13" t="n">
        <v>99586</v>
      </c>
      <c r="F54" s="13" t="n">
        <v>104058</v>
      </c>
      <c r="G54" s="13" t="n">
        <v>106899</v>
      </c>
    </row>
    <row r="55" customFormat="false" ht="15" hidden="false" customHeight="false" outlineLevel="0" collapsed="false">
      <c r="A55" s="0" t="s">
        <v>23</v>
      </c>
      <c r="B55" s="0" t="n">
        <v>6</v>
      </c>
      <c r="C55" s="0" t="s">
        <v>56</v>
      </c>
      <c r="D55" s="0" t="s">
        <v>60</v>
      </c>
      <c r="E55" s="13" t="n">
        <v>57655</v>
      </c>
      <c r="F55" s="13" t="n">
        <v>54693</v>
      </c>
      <c r="G55" s="13" t="n">
        <v>56341</v>
      </c>
    </row>
    <row r="56" customFormat="false" ht="15" hidden="false" customHeight="false" outlineLevel="0" collapsed="false">
      <c r="A56" s="0" t="s">
        <v>24</v>
      </c>
      <c r="B56" s="0" t="n">
        <v>7</v>
      </c>
      <c r="C56" s="0" t="s">
        <v>51</v>
      </c>
      <c r="D56" s="0" t="s">
        <v>50</v>
      </c>
      <c r="E56" s="13" t="n">
        <v>485523</v>
      </c>
      <c r="F56" s="13" t="n">
        <v>444407</v>
      </c>
      <c r="G56" s="13" t="n">
        <v>426058</v>
      </c>
    </row>
    <row r="57" customFormat="false" ht="15" hidden="false" customHeight="false" outlineLevel="0" collapsed="false">
      <c r="A57" s="0" t="s">
        <v>24</v>
      </c>
      <c r="B57" s="0" t="n">
        <v>7</v>
      </c>
      <c r="C57" s="0" t="s">
        <v>51</v>
      </c>
      <c r="D57" s="0" t="s">
        <v>52</v>
      </c>
      <c r="E57" s="13" t="n">
        <v>323682</v>
      </c>
      <c r="F57" s="13" t="n">
        <v>301097</v>
      </c>
      <c r="G57" s="13" t="n">
        <v>305537</v>
      </c>
    </row>
    <row r="58" customFormat="false" ht="15" hidden="false" customHeight="false" outlineLevel="0" collapsed="false">
      <c r="A58" s="0" t="s">
        <v>24</v>
      </c>
      <c r="B58" s="0" t="n">
        <v>7</v>
      </c>
      <c r="C58" s="0" t="s">
        <v>51</v>
      </c>
      <c r="D58" s="0" t="s">
        <v>53</v>
      </c>
      <c r="E58" s="13" t="n">
        <v>212417</v>
      </c>
      <c r="F58" s="13" t="n">
        <v>207179</v>
      </c>
      <c r="G58" s="13" t="n">
        <v>198306</v>
      </c>
    </row>
    <row r="59" customFormat="false" ht="15" hidden="false" customHeight="false" outlineLevel="0" collapsed="false">
      <c r="A59" s="0" t="s">
        <v>24</v>
      </c>
      <c r="B59" s="0" t="n">
        <v>7</v>
      </c>
      <c r="C59" s="0" t="s">
        <v>51</v>
      </c>
      <c r="D59" s="0" t="s">
        <v>54</v>
      </c>
      <c r="E59" s="13" t="n">
        <v>141611</v>
      </c>
      <c r="F59" s="13" t="n">
        <v>141923</v>
      </c>
      <c r="G59" s="13" t="n">
        <v>135387</v>
      </c>
    </row>
    <row r="60" customFormat="false" ht="15" hidden="false" customHeight="false" outlineLevel="0" collapsed="false">
      <c r="A60" s="0" t="s">
        <v>24</v>
      </c>
      <c r="B60" s="0" t="n">
        <v>7</v>
      </c>
      <c r="C60" s="0" t="s">
        <v>56</v>
      </c>
      <c r="D60" s="0" t="s">
        <v>55</v>
      </c>
      <c r="E60" s="13" t="n">
        <v>657480</v>
      </c>
      <c r="F60" s="13" t="n">
        <v>637564</v>
      </c>
      <c r="G60" s="13" t="n">
        <v>629609</v>
      </c>
    </row>
    <row r="61" customFormat="false" ht="15" hidden="false" customHeight="false" outlineLevel="0" collapsed="false">
      <c r="A61" s="0" t="s">
        <v>24</v>
      </c>
      <c r="B61" s="0" t="n">
        <v>7</v>
      </c>
      <c r="C61" s="0" t="s">
        <v>56</v>
      </c>
      <c r="D61" s="0" t="s">
        <v>57</v>
      </c>
      <c r="E61" s="13" t="n">
        <v>242762</v>
      </c>
      <c r="F61" s="13" t="n">
        <v>234490</v>
      </c>
      <c r="G61" s="13" t="n">
        <v>225053</v>
      </c>
    </row>
    <row r="62" customFormat="false" ht="15" hidden="false" customHeight="false" outlineLevel="0" collapsed="false">
      <c r="A62" s="0" t="s">
        <v>24</v>
      </c>
      <c r="B62" s="0" t="n">
        <v>7</v>
      </c>
      <c r="C62" s="0" t="s">
        <v>56</v>
      </c>
      <c r="D62" s="0" t="s">
        <v>58</v>
      </c>
      <c r="E62" s="13" t="n">
        <v>65748</v>
      </c>
      <c r="F62" s="13" t="n">
        <v>60825</v>
      </c>
      <c r="G62" s="13" t="n">
        <v>63498</v>
      </c>
    </row>
    <row r="63" customFormat="false" ht="15" hidden="false" customHeight="false" outlineLevel="0" collapsed="false">
      <c r="A63" s="0" t="s">
        <v>24</v>
      </c>
      <c r="B63" s="0" t="n">
        <v>7</v>
      </c>
      <c r="C63" s="0" t="s">
        <v>56</v>
      </c>
      <c r="D63" s="0" t="s">
        <v>59</v>
      </c>
      <c r="E63" s="13" t="n">
        <v>96093</v>
      </c>
      <c r="F63" s="13" t="n">
        <v>84172</v>
      </c>
      <c r="G63" s="13" t="n">
        <v>85175</v>
      </c>
    </row>
    <row r="64" customFormat="false" ht="15" hidden="false" customHeight="false" outlineLevel="0" collapsed="false">
      <c r="A64" s="0" t="s">
        <v>24</v>
      </c>
      <c r="B64" s="0" t="n">
        <v>7</v>
      </c>
      <c r="C64" s="0" t="s">
        <v>56</v>
      </c>
      <c r="D64" s="0" t="s">
        <v>60</v>
      </c>
      <c r="E64" s="13" t="n">
        <v>55633</v>
      </c>
      <c r="F64" s="13" t="n">
        <v>52946</v>
      </c>
      <c r="G64" s="13" t="n">
        <v>51447</v>
      </c>
    </row>
    <row r="65" customFormat="false" ht="15" hidden="false" customHeight="false" outlineLevel="0" collapsed="false">
      <c r="A65" s="0" t="s">
        <v>25</v>
      </c>
      <c r="B65" s="0" t="n">
        <v>8</v>
      </c>
      <c r="C65" s="0" t="s">
        <v>51</v>
      </c>
      <c r="D65" s="0" t="s">
        <v>50</v>
      </c>
      <c r="E65" s="13" t="n">
        <v>470807</v>
      </c>
      <c r="F65" s="13" t="n">
        <v>412044</v>
      </c>
      <c r="G65" s="13" t="n">
        <v>411478</v>
      </c>
    </row>
    <row r="66" customFormat="false" ht="15" hidden="false" customHeight="false" outlineLevel="0" collapsed="false">
      <c r="A66" s="0" t="s">
        <v>25</v>
      </c>
      <c r="B66" s="0" t="n">
        <v>8</v>
      </c>
      <c r="C66" s="0" t="s">
        <v>51</v>
      </c>
      <c r="D66" s="0" t="s">
        <v>52</v>
      </c>
      <c r="E66" s="13" t="n">
        <v>313871</v>
      </c>
      <c r="F66" s="13" t="n">
        <v>301682</v>
      </c>
      <c r="G66" s="13" t="n">
        <v>316058</v>
      </c>
    </row>
    <row r="67" customFormat="false" ht="15" hidden="false" customHeight="false" outlineLevel="0" collapsed="false">
      <c r="A67" s="0" t="s">
        <v>25</v>
      </c>
      <c r="B67" s="0" t="n">
        <v>8</v>
      </c>
      <c r="C67" s="0" t="s">
        <v>51</v>
      </c>
      <c r="D67" s="0" t="s">
        <v>53</v>
      </c>
      <c r="E67" s="13" t="n">
        <v>205978</v>
      </c>
      <c r="F67" s="13" t="n">
        <v>197820</v>
      </c>
      <c r="G67" s="13" t="n">
        <v>188118</v>
      </c>
    </row>
    <row r="68" customFormat="false" ht="15" hidden="false" customHeight="false" outlineLevel="0" collapsed="false">
      <c r="A68" s="0" t="s">
        <v>25</v>
      </c>
      <c r="B68" s="0" t="n">
        <v>8</v>
      </c>
      <c r="C68" s="0" t="s">
        <v>51</v>
      </c>
      <c r="D68" s="0" t="s">
        <v>54</v>
      </c>
      <c r="E68" s="13" t="n">
        <v>137319</v>
      </c>
      <c r="F68" s="13" t="n">
        <v>125773</v>
      </c>
      <c r="G68" s="13" t="n">
        <v>131188</v>
      </c>
    </row>
    <row r="69" customFormat="false" ht="15" hidden="false" customHeight="false" outlineLevel="0" collapsed="false">
      <c r="A69" s="0" t="s">
        <v>25</v>
      </c>
      <c r="B69" s="0" t="n">
        <v>8</v>
      </c>
      <c r="C69" s="0" t="s">
        <v>56</v>
      </c>
      <c r="D69" s="0" t="s">
        <v>55</v>
      </c>
      <c r="E69" s="13" t="n">
        <v>637551</v>
      </c>
      <c r="F69" s="13" t="n">
        <v>659275</v>
      </c>
      <c r="G69" s="13" t="n">
        <v>650067</v>
      </c>
    </row>
    <row r="70" customFormat="false" ht="15" hidden="false" customHeight="false" outlineLevel="0" collapsed="false">
      <c r="A70" s="0" t="s">
        <v>25</v>
      </c>
      <c r="B70" s="0" t="n">
        <v>8</v>
      </c>
      <c r="C70" s="0" t="s">
        <v>56</v>
      </c>
      <c r="D70" s="0" t="s">
        <v>57</v>
      </c>
      <c r="E70" s="13" t="n">
        <v>235403</v>
      </c>
      <c r="F70" s="13" t="n">
        <v>258833</v>
      </c>
      <c r="G70" s="13" t="n">
        <v>261590</v>
      </c>
    </row>
    <row r="71" customFormat="false" ht="15" hidden="false" customHeight="false" outlineLevel="0" collapsed="false">
      <c r="A71" s="0" t="s">
        <v>25</v>
      </c>
      <c r="B71" s="0" t="n">
        <v>8</v>
      </c>
      <c r="C71" s="0" t="s">
        <v>56</v>
      </c>
      <c r="D71" s="0" t="s">
        <v>58</v>
      </c>
      <c r="E71" s="13" t="n">
        <v>63755</v>
      </c>
      <c r="F71" s="13" t="n">
        <v>62629</v>
      </c>
      <c r="G71" s="13" t="n">
        <v>63927</v>
      </c>
    </row>
    <row r="72" customFormat="false" ht="15" hidden="false" customHeight="false" outlineLevel="0" collapsed="false">
      <c r="A72" s="0" t="s">
        <v>25</v>
      </c>
      <c r="B72" s="0" t="n">
        <v>8</v>
      </c>
      <c r="C72" s="0" t="s">
        <v>56</v>
      </c>
      <c r="D72" s="0" t="s">
        <v>59</v>
      </c>
      <c r="E72" s="13" t="n">
        <v>93181</v>
      </c>
      <c r="F72" s="13" t="n">
        <v>87024</v>
      </c>
      <c r="G72" s="13" t="n">
        <v>87374</v>
      </c>
    </row>
    <row r="73" customFormat="false" ht="15" hidden="false" customHeight="false" outlineLevel="0" collapsed="false">
      <c r="A73" s="0" t="s">
        <v>25</v>
      </c>
      <c r="B73" s="0" t="n">
        <v>8</v>
      </c>
      <c r="C73" s="0" t="s">
        <v>56</v>
      </c>
      <c r="D73" s="0" t="s">
        <v>60</v>
      </c>
      <c r="E73" s="13" t="n">
        <v>53947</v>
      </c>
      <c r="F73" s="13" t="n">
        <v>50282</v>
      </c>
      <c r="G73" s="13" t="n">
        <v>51440</v>
      </c>
    </row>
    <row r="74" customFormat="false" ht="15" hidden="false" customHeight="false" outlineLevel="0" collapsed="false">
      <c r="A74" s="0" t="s">
        <v>26</v>
      </c>
      <c r="B74" s="0" t="n">
        <v>9</v>
      </c>
      <c r="C74" s="0" t="s">
        <v>51</v>
      </c>
      <c r="D74" s="0" t="s">
        <v>50</v>
      </c>
      <c r="E74" s="13" t="n">
        <v>463799</v>
      </c>
      <c r="F74" s="13" t="n">
        <v>484348</v>
      </c>
      <c r="G74" s="13" t="n">
        <v>481965</v>
      </c>
    </row>
    <row r="75" customFormat="false" ht="15" hidden="false" customHeight="false" outlineLevel="0" collapsed="false">
      <c r="A75" s="0" t="s">
        <v>26</v>
      </c>
      <c r="B75" s="0" t="n">
        <v>9</v>
      </c>
      <c r="C75" s="0" t="s">
        <v>51</v>
      </c>
      <c r="D75" s="0" t="s">
        <v>52</v>
      </c>
      <c r="E75" s="13" t="n">
        <v>309199</v>
      </c>
      <c r="F75" s="13" t="n">
        <v>332504</v>
      </c>
      <c r="G75" s="13" t="n">
        <v>321985</v>
      </c>
    </row>
    <row r="76" customFormat="false" ht="15" hidden="false" customHeight="false" outlineLevel="0" collapsed="false">
      <c r="A76" s="0" t="s">
        <v>26</v>
      </c>
      <c r="B76" s="0" t="n">
        <v>9</v>
      </c>
      <c r="C76" s="0" t="s">
        <v>51</v>
      </c>
      <c r="D76" s="0" t="s">
        <v>53</v>
      </c>
      <c r="E76" s="13" t="n">
        <v>202912</v>
      </c>
      <c r="F76" s="13" t="n">
        <v>210565</v>
      </c>
      <c r="G76" s="13" t="n">
        <v>209385</v>
      </c>
    </row>
    <row r="77" customFormat="false" ht="15" hidden="false" customHeight="false" outlineLevel="0" collapsed="false">
      <c r="A77" s="0" t="s">
        <v>26</v>
      </c>
      <c r="B77" s="0" t="n">
        <v>9</v>
      </c>
      <c r="C77" s="0" t="s">
        <v>51</v>
      </c>
      <c r="D77" s="0" t="s">
        <v>54</v>
      </c>
      <c r="E77" s="13" t="n">
        <v>135275</v>
      </c>
      <c r="F77" s="13" t="n">
        <v>124339</v>
      </c>
      <c r="G77" s="13" t="n">
        <v>128188</v>
      </c>
    </row>
    <row r="78" customFormat="false" ht="15" hidden="false" customHeight="false" outlineLevel="0" collapsed="false">
      <c r="A78" s="0" t="s">
        <v>26</v>
      </c>
      <c r="B78" s="0" t="n">
        <v>9</v>
      </c>
      <c r="C78" s="0" t="s">
        <v>56</v>
      </c>
      <c r="D78" s="0" t="s">
        <v>55</v>
      </c>
      <c r="E78" s="13" t="n">
        <v>628061</v>
      </c>
      <c r="F78" s="13" t="n">
        <v>692062</v>
      </c>
      <c r="G78" s="13" t="n">
        <v>777725</v>
      </c>
    </row>
    <row r="79" customFormat="false" ht="15" hidden="false" customHeight="false" outlineLevel="0" collapsed="false">
      <c r="A79" s="0" t="s">
        <v>26</v>
      </c>
      <c r="B79" s="0" t="n">
        <v>9</v>
      </c>
      <c r="C79" s="0" t="s">
        <v>56</v>
      </c>
      <c r="D79" s="0" t="s">
        <v>57</v>
      </c>
      <c r="E79" s="13" t="n">
        <v>231899</v>
      </c>
      <c r="F79" s="13" t="n">
        <v>233185</v>
      </c>
      <c r="G79" s="13" t="n">
        <v>237670</v>
      </c>
    </row>
    <row r="80" customFormat="false" ht="15" hidden="false" customHeight="false" outlineLevel="0" collapsed="false">
      <c r="A80" s="0" t="s">
        <v>26</v>
      </c>
      <c r="B80" s="0" t="n">
        <v>9</v>
      </c>
      <c r="C80" s="0" t="s">
        <v>56</v>
      </c>
      <c r="D80" s="0" t="s">
        <v>58</v>
      </c>
      <c r="E80" s="13" t="n">
        <v>62806</v>
      </c>
      <c r="F80" s="13" t="n">
        <v>69246</v>
      </c>
      <c r="G80" s="13" t="n">
        <v>66338</v>
      </c>
    </row>
    <row r="81" customFormat="false" ht="15" hidden="false" customHeight="false" outlineLevel="0" collapsed="false">
      <c r="A81" s="0" t="s">
        <v>26</v>
      </c>
      <c r="B81" s="0" t="n">
        <v>9</v>
      </c>
      <c r="C81" s="0" t="s">
        <v>56</v>
      </c>
      <c r="D81" s="0" t="s">
        <v>59</v>
      </c>
      <c r="E81" s="13" t="n">
        <v>91793</v>
      </c>
      <c r="F81" s="13" t="n">
        <v>100147</v>
      </c>
      <c r="G81" s="13" t="n">
        <v>93494</v>
      </c>
    </row>
    <row r="82" customFormat="false" ht="15" hidden="false" customHeight="false" outlineLevel="0" collapsed="false">
      <c r="A82" s="0" t="s">
        <v>26</v>
      </c>
      <c r="B82" s="0" t="n">
        <v>9</v>
      </c>
      <c r="C82" s="0" t="s">
        <v>56</v>
      </c>
      <c r="D82" s="0" t="s">
        <v>60</v>
      </c>
      <c r="E82" s="13" t="n">
        <v>53144</v>
      </c>
      <c r="F82" s="13" t="n">
        <v>49459</v>
      </c>
      <c r="G82" s="13" t="n">
        <v>49015</v>
      </c>
    </row>
    <row r="83" customFormat="false" ht="15" hidden="false" customHeight="false" outlineLevel="0" collapsed="false">
      <c r="A83" s="0" t="s">
        <v>27</v>
      </c>
      <c r="B83" s="0" t="n">
        <v>10</v>
      </c>
      <c r="C83" s="0" t="s">
        <v>51</v>
      </c>
      <c r="D83" s="0" t="s">
        <v>50</v>
      </c>
      <c r="E83" s="13" t="n">
        <v>467254</v>
      </c>
      <c r="F83" s="13" t="n">
        <v>454699</v>
      </c>
      <c r="G83" s="13" t="n">
        <v>474493</v>
      </c>
    </row>
    <row r="84" customFormat="false" ht="15" hidden="false" customHeight="false" outlineLevel="0" collapsed="false">
      <c r="A84" s="0" t="s">
        <v>27</v>
      </c>
      <c r="B84" s="0" t="n">
        <v>10</v>
      </c>
      <c r="C84" s="0" t="s">
        <v>51</v>
      </c>
      <c r="D84" s="0" t="s">
        <v>52</v>
      </c>
      <c r="E84" s="13" t="n">
        <v>311503</v>
      </c>
      <c r="F84" s="13" t="n">
        <v>288216</v>
      </c>
      <c r="G84" s="13" t="n">
        <v>286574</v>
      </c>
    </row>
    <row r="85" customFormat="false" ht="15" hidden="false" customHeight="false" outlineLevel="0" collapsed="false">
      <c r="A85" s="0" t="s">
        <v>27</v>
      </c>
      <c r="B85" s="0" t="n">
        <v>10</v>
      </c>
      <c r="C85" s="0" t="s">
        <v>51</v>
      </c>
      <c r="D85" s="0" t="s">
        <v>53</v>
      </c>
      <c r="E85" s="13" t="n">
        <v>204424</v>
      </c>
      <c r="F85" s="13" t="n">
        <v>199430</v>
      </c>
      <c r="G85" s="13" t="n">
        <v>200891</v>
      </c>
    </row>
    <row r="86" customFormat="false" ht="15" hidden="false" customHeight="false" outlineLevel="0" collapsed="false">
      <c r="A86" s="0" t="s">
        <v>27</v>
      </c>
      <c r="B86" s="0" t="n">
        <v>10</v>
      </c>
      <c r="C86" s="0" t="s">
        <v>51</v>
      </c>
      <c r="D86" s="0" t="s">
        <v>54</v>
      </c>
      <c r="E86" s="13" t="n">
        <v>136282</v>
      </c>
      <c r="F86" s="13" t="n">
        <v>142136</v>
      </c>
      <c r="G86" s="13" t="n">
        <v>148103</v>
      </c>
    </row>
    <row r="87" customFormat="false" ht="15" hidden="false" customHeight="false" outlineLevel="0" collapsed="false">
      <c r="A87" s="0" t="s">
        <v>27</v>
      </c>
      <c r="B87" s="0" t="n">
        <v>10</v>
      </c>
      <c r="C87" s="0" t="s">
        <v>56</v>
      </c>
      <c r="D87" s="0" t="s">
        <v>55</v>
      </c>
      <c r="E87" s="13" t="n">
        <v>632740</v>
      </c>
      <c r="F87" s="13" t="n">
        <v>644930</v>
      </c>
      <c r="G87" s="13" t="n">
        <v>654816</v>
      </c>
    </row>
    <row r="88" customFormat="false" ht="15" hidden="false" customHeight="false" outlineLevel="0" collapsed="false">
      <c r="A88" s="0" t="s">
        <v>27</v>
      </c>
      <c r="B88" s="0" t="n">
        <v>10</v>
      </c>
      <c r="C88" s="0" t="s">
        <v>56</v>
      </c>
      <c r="D88" s="0" t="s">
        <v>57</v>
      </c>
      <c r="E88" s="13" t="n">
        <v>233627</v>
      </c>
      <c r="F88" s="13" t="n">
        <v>234329</v>
      </c>
      <c r="G88" s="13" t="n">
        <v>219687</v>
      </c>
    </row>
    <row r="89" customFormat="false" ht="15" hidden="false" customHeight="false" outlineLevel="0" collapsed="false">
      <c r="A89" s="0" t="s">
        <v>27</v>
      </c>
      <c r="B89" s="0" t="n">
        <v>10</v>
      </c>
      <c r="C89" s="0" t="s">
        <v>56</v>
      </c>
      <c r="D89" s="0" t="s">
        <v>58</v>
      </c>
      <c r="E89" s="13" t="n">
        <v>63274</v>
      </c>
      <c r="F89" s="13" t="n">
        <v>56340</v>
      </c>
      <c r="G89" s="13" t="n">
        <v>57149</v>
      </c>
    </row>
    <row r="90" customFormat="false" ht="15" hidden="false" customHeight="false" outlineLevel="0" collapsed="false">
      <c r="A90" s="0" t="s">
        <v>27</v>
      </c>
      <c r="B90" s="0" t="n">
        <v>10</v>
      </c>
      <c r="C90" s="0" t="s">
        <v>56</v>
      </c>
      <c r="D90" s="0" t="s">
        <v>59</v>
      </c>
      <c r="E90" s="13" t="n">
        <v>92477</v>
      </c>
      <c r="F90" s="13" t="n">
        <v>84778</v>
      </c>
      <c r="G90" s="13" t="n">
        <v>82100</v>
      </c>
    </row>
    <row r="91" customFormat="false" ht="15" hidden="false" customHeight="false" outlineLevel="0" collapsed="false">
      <c r="A91" s="0" t="s">
        <v>27</v>
      </c>
      <c r="B91" s="0" t="n">
        <v>10</v>
      </c>
      <c r="C91" s="0" t="s">
        <v>56</v>
      </c>
      <c r="D91" s="0" t="s">
        <v>60</v>
      </c>
      <c r="E91" s="13" t="n">
        <v>53540</v>
      </c>
      <c r="F91" s="13" t="n">
        <v>54242</v>
      </c>
      <c r="G91" s="13" t="n">
        <v>53480</v>
      </c>
    </row>
    <row r="92" customFormat="false" ht="15" hidden="false" customHeight="false" outlineLevel="0" collapsed="false">
      <c r="A92" s="0" t="s">
        <v>28</v>
      </c>
      <c r="B92" s="0" t="n">
        <v>11</v>
      </c>
      <c r="C92" s="0" t="s">
        <v>51</v>
      </c>
      <c r="D92" s="0" t="s">
        <v>50</v>
      </c>
      <c r="E92" s="13" t="n">
        <v>481138</v>
      </c>
      <c r="F92" s="13" t="n">
        <v>454230</v>
      </c>
      <c r="G92" s="13" t="n">
        <v>435766</v>
      </c>
    </row>
    <row r="93" customFormat="false" ht="15" hidden="false" customHeight="false" outlineLevel="0" collapsed="false">
      <c r="A93" s="0" t="s">
        <v>28</v>
      </c>
      <c r="B93" s="0" t="n">
        <v>11</v>
      </c>
      <c r="C93" s="0" t="s">
        <v>51</v>
      </c>
      <c r="D93" s="0" t="s">
        <v>52</v>
      </c>
      <c r="E93" s="13" t="n">
        <v>320759</v>
      </c>
      <c r="F93" s="13" t="n">
        <v>321599</v>
      </c>
      <c r="G93" s="13" t="n">
        <v>342836</v>
      </c>
    </row>
    <row r="94" customFormat="false" ht="15" hidden="false" customHeight="false" outlineLevel="0" collapsed="false">
      <c r="A94" s="0" t="s">
        <v>28</v>
      </c>
      <c r="B94" s="0" t="n">
        <v>11</v>
      </c>
      <c r="C94" s="0" t="s">
        <v>51</v>
      </c>
      <c r="D94" s="0" t="s">
        <v>53</v>
      </c>
      <c r="E94" s="13" t="n">
        <v>210498</v>
      </c>
      <c r="F94" s="13" t="n">
        <v>185481</v>
      </c>
      <c r="G94" s="13" t="n">
        <v>183431</v>
      </c>
    </row>
    <row r="95" customFormat="false" ht="15" hidden="false" customHeight="false" outlineLevel="0" collapsed="false">
      <c r="A95" s="0" t="s">
        <v>28</v>
      </c>
      <c r="B95" s="0" t="n">
        <v>11</v>
      </c>
      <c r="C95" s="0" t="s">
        <v>51</v>
      </c>
      <c r="D95" s="0" t="s">
        <v>54</v>
      </c>
      <c r="E95" s="13" t="n">
        <v>140332</v>
      </c>
      <c r="F95" s="13" t="n">
        <v>149778</v>
      </c>
      <c r="G95" s="13" t="n">
        <v>151556</v>
      </c>
    </row>
    <row r="96" customFormat="false" ht="15" hidden="false" customHeight="false" outlineLevel="0" collapsed="false">
      <c r="A96" s="0" t="s">
        <v>28</v>
      </c>
      <c r="B96" s="0" t="n">
        <v>11</v>
      </c>
      <c r="C96" s="0" t="s">
        <v>56</v>
      </c>
      <c r="D96" s="0" t="s">
        <v>55</v>
      </c>
      <c r="E96" s="13" t="n">
        <v>651541</v>
      </c>
      <c r="F96" s="13" t="n">
        <v>628157</v>
      </c>
      <c r="G96" s="13" t="n">
        <v>628969</v>
      </c>
    </row>
    <row r="97" customFormat="false" ht="15" hidden="false" customHeight="false" outlineLevel="0" collapsed="false">
      <c r="A97" s="0" t="s">
        <v>28</v>
      </c>
      <c r="B97" s="0" t="n">
        <v>11</v>
      </c>
      <c r="C97" s="0" t="s">
        <v>56</v>
      </c>
      <c r="D97" s="0" t="s">
        <v>57</v>
      </c>
      <c r="E97" s="13" t="n">
        <v>240569</v>
      </c>
      <c r="F97" s="13" t="n">
        <v>246471</v>
      </c>
      <c r="G97" s="13" t="n">
        <v>256488</v>
      </c>
    </row>
    <row r="98" customFormat="false" ht="15" hidden="false" customHeight="false" outlineLevel="0" collapsed="false">
      <c r="A98" s="0" t="s">
        <v>28</v>
      </c>
      <c r="B98" s="0" t="n">
        <v>11</v>
      </c>
      <c r="C98" s="0" t="s">
        <v>56</v>
      </c>
      <c r="D98" s="0" t="s">
        <v>58</v>
      </c>
      <c r="E98" s="13" t="n">
        <v>65154</v>
      </c>
      <c r="F98" s="13" t="n">
        <v>58906</v>
      </c>
      <c r="G98" s="13" t="n">
        <v>56876</v>
      </c>
    </row>
    <row r="99" customFormat="false" ht="15" hidden="false" customHeight="false" outlineLevel="0" collapsed="false">
      <c r="A99" s="0" t="s">
        <v>28</v>
      </c>
      <c r="B99" s="0" t="n">
        <v>11</v>
      </c>
      <c r="C99" s="0" t="s">
        <v>56</v>
      </c>
      <c r="D99" s="0" t="s">
        <v>59</v>
      </c>
      <c r="E99" s="13" t="n">
        <v>95225</v>
      </c>
      <c r="F99" s="13" t="n">
        <v>96804</v>
      </c>
      <c r="G99" s="13" t="n">
        <v>98482</v>
      </c>
    </row>
    <row r="100" customFormat="false" ht="15" hidden="false" customHeight="false" outlineLevel="0" collapsed="false">
      <c r="A100" s="0" t="s">
        <v>28</v>
      </c>
      <c r="B100" s="0" t="n">
        <v>11</v>
      </c>
      <c r="C100" s="0" t="s">
        <v>56</v>
      </c>
      <c r="D100" s="0" t="s">
        <v>60</v>
      </c>
      <c r="E100" s="13" t="n">
        <v>55130</v>
      </c>
      <c r="F100" s="13" t="n">
        <v>55937</v>
      </c>
      <c r="G100" s="13" t="n">
        <v>56858</v>
      </c>
    </row>
    <row r="101" customFormat="false" ht="15" hidden="false" customHeight="false" outlineLevel="0" collapsed="false">
      <c r="A101" s="0" t="s">
        <v>29</v>
      </c>
      <c r="B101" s="0" t="n">
        <v>12</v>
      </c>
      <c r="C101" s="0" t="s">
        <v>51</v>
      </c>
      <c r="D101" s="0" t="s">
        <v>50</v>
      </c>
      <c r="E101" s="13" t="n">
        <v>502603</v>
      </c>
      <c r="F101" s="13" t="n">
        <v>533661</v>
      </c>
      <c r="G101" s="13" t="n">
        <v>544686</v>
      </c>
    </row>
    <row r="102" customFormat="false" ht="15" hidden="false" customHeight="false" outlineLevel="0" collapsed="false">
      <c r="A102" s="0" t="s">
        <v>29</v>
      </c>
      <c r="B102" s="0" t="n">
        <v>12</v>
      </c>
      <c r="C102" s="0" t="s">
        <v>51</v>
      </c>
      <c r="D102" s="0" t="s">
        <v>52</v>
      </c>
      <c r="E102" s="13" t="n">
        <v>335069</v>
      </c>
      <c r="F102" s="13" t="n">
        <v>395342</v>
      </c>
      <c r="G102" s="13" t="n">
        <v>383349</v>
      </c>
    </row>
    <row r="103" customFormat="false" ht="15" hidden="false" customHeight="false" outlineLevel="0" collapsed="false">
      <c r="A103" s="0" t="s">
        <v>29</v>
      </c>
      <c r="B103" s="0" t="n">
        <v>12</v>
      </c>
      <c r="C103" s="0" t="s">
        <v>51</v>
      </c>
      <c r="D103" s="0" t="s">
        <v>53</v>
      </c>
      <c r="E103" s="13" t="n">
        <v>219889</v>
      </c>
      <c r="F103" s="13" t="n">
        <v>214390</v>
      </c>
      <c r="G103" s="13" t="n">
        <v>200385</v>
      </c>
    </row>
    <row r="104" customFormat="false" ht="15" hidden="false" customHeight="false" outlineLevel="0" collapsed="false">
      <c r="A104" s="0" t="s">
        <v>29</v>
      </c>
      <c r="B104" s="0" t="n">
        <v>12</v>
      </c>
      <c r="C104" s="0" t="s">
        <v>51</v>
      </c>
      <c r="D104" s="0" t="s">
        <v>54</v>
      </c>
      <c r="E104" s="13" t="n">
        <v>146593</v>
      </c>
      <c r="F104" s="13" t="n">
        <v>152707</v>
      </c>
      <c r="G104" s="13" t="n">
        <v>154359</v>
      </c>
    </row>
    <row r="105" customFormat="false" ht="15" hidden="false" customHeight="false" outlineLevel="0" collapsed="false">
      <c r="A105" s="0" t="s">
        <v>29</v>
      </c>
      <c r="B105" s="0" t="n">
        <v>12</v>
      </c>
      <c r="C105" s="0" t="s">
        <v>56</v>
      </c>
      <c r="D105" s="0" t="s">
        <v>55</v>
      </c>
      <c r="E105" s="13" t="n">
        <v>680608</v>
      </c>
      <c r="F105" s="13" t="n">
        <v>674191</v>
      </c>
      <c r="G105" s="13" t="n">
        <v>643276</v>
      </c>
    </row>
    <row r="106" customFormat="false" ht="15" hidden="false" customHeight="false" outlineLevel="0" collapsed="false">
      <c r="A106" s="0" t="s">
        <v>29</v>
      </c>
      <c r="B106" s="0" t="n">
        <v>12</v>
      </c>
      <c r="C106" s="0" t="s">
        <v>56</v>
      </c>
      <c r="D106" s="0" t="s">
        <v>57</v>
      </c>
      <c r="E106" s="13" t="n">
        <v>251302</v>
      </c>
      <c r="F106" s="13" t="n">
        <v>280919</v>
      </c>
      <c r="G106" s="13" t="n">
        <v>285624</v>
      </c>
    </row>
    <row r="107" customFormat="false" ht="15" hidden="false" customHeight="false" outlineLevel="0" collapsed="false">
      <c r="A107" s="0" t="s">
        <v>29</v>
      </c>
      <c r="B107" s="0" t="n">
        <v>12</v>
      </c>
      <c r="C107" s="0" t="s">
        <v>56</v>
      </c>
      <c r="D107" s="0" t="s">
        <v>58</v>
      </c>
      <c r="E107" s="13" t="n">
        <v>68061</v>
      </c>
      <c r="F107" s="13" t="n">
        <v>71435</v>
      </c>
      <c r="G107" s="13" t="n">
        <v>67592</v>
      </c>
    </row>
    <row r="108" customFormat="false" ht="15" hidden="false" customHeight="false" outlineLevel="0" collapsed="false">
      <c r="A108" s="0" t="s">
        <v>29</v>
      </c>
      <c r="B108" s="0" t="n">
        <v>12</v>
      </c>
      <c r="C108" s="0" t="s">
        <v>56</v>
      </c>
      <c r="D108" s="0" t="s">
        <v>59</v>
      </c>
      <c r="E108" s="13" t="n">
        <v>99474</v>
      </c>
      <c r="F108" s="13" t="n">
        <v>101469</v>
      </c>
      <c r="G108" s="13" t="n">
        <v>103501</v>
      </c>
    </row>
    <row r="109" customFormat="false" ht="15" hidden="false" customHeight="false" outlineLevel="0" collapsed="false">
      <c r="A109" s="0" t="s">
        <v>29</v>
      </c>
      <c r="B109" s="0" t="n">
        <v>12</v>
      </c>
      <c r="C109" s="0" t="s">
        <v>56</v>
      </c>
      <c r="D109" s="0" t="s">
        <v>60</v>
      </c>
      <c r="E109" s="13" t="n">
        <v>57590</v>
      </c>
      <c r="F109" s="13" t="n">
        <v>63551</v>
      </c>
      <c r="G109" s="13" t="n">
        <v>65047</v>
      </c>
    </row>
    <row r="110" customFormat="false" ht="15" hidden="false" customHeight="false" outlineLevel="0" collapsed="false">
      <c r="A110" s="0" t="s">
        <v>30</v>
      </c>
      <c r="B110" s="0" t="n">
        <v>13</v>
      </c>
      <c r="C110" s="0" t="s">
        <v>51</v>
      </c>
      <c r="D110" s="0" t="s">
        <v>50</v>
      </c>
      <c r="E110" s="13" t="n">
        <v>526725</v>
      </c>
      <c r="F110" s="13" t="n">
        <v>566184</v>
      </c>
      <c r="G110" s="13" t="n">
        <v>526574</v>
      </c>
    </row>
    <row r="111" customFormat="false" ht="15" hidden="false" customHeight="false" outlineLevel="0" collapsed="false">
      <c r="A111" s="0" t="s">
        <v>30</v>
      </c>
      <c r="B111" s="0" t="n">
        <v>13</v>
      </c>
      <c r="C111" s="0" t="s">
        <v>51</v>
      </c>
      <c r="D111" s="0" t="s">
        <v>52</v>
      </c>
      <c r="E111" s="13" t="n">
        <v>351150</v>
      </c>
      <c r="F111" s="13" t="n">
        <v>346043</v>
      </c>
      <c r="G111" s="13" t="n">
        <v>347412</v>
      </c>
    </row>
    <row r="112" customFormat="false" ht="15" hidden="false" customHeight="false" outlineLevel="0" collapsed="false">
      <c r="A112" s="0" t="s">
        <v>30</v>
      </c>
      <c r="B112" s="0" t="n">
        <v>13</v>
      </c>
      <c r="C112" s="0" t="s">
        <v>51</v>
      </c>
      <c r="D112" s="0" t="s">
        <v>53</v>
      </c>
      <c r="E112" s="13" t="n">
        <v>230442</v>
      </c>
      <c r="F112" s="13" t="n">
        <v>228896</v>
      </c>
      <c r="G112" s="13" t="n">
        <v>225955</v>
      </c>
    </row>
    <row r="113" customFormat="false" ht="15" hidden="false" customHeight="false" outlineLevel="0" collapsed="false">
      <c r="A113" s="0" t="s">
        <v>30</v>
      </c>
      <c r="B113" s="0" t="n">
        <v>13</v>
      </c>
      <c r="C113" s="0" t="s">
        <v>51</v>
      </c>
      <c r="D113" s="0" t="s">
        <v>54</v>
      </c>
      <c r="E113" s="13" t="n">
        <v>153628</v>
      </c>
      <c r="F113" s="13" t="n">
        <v>150260</v>
      </c>
      <c r="G113" s="13" t="n">
        <v>159068</v>
      </c>
    </row>
    <row r="114" customFormat="false" ht="15" hidden="false" customHeight="false" outlineLevel="0" collapsed="false">
      <c r="A114" s="0" t="s">
        <v>30</v>
      </c>
      <c r="B114" s="0" t="n">
        <v>13</v>
      </c>
      <c r="C114" s="0" t="s">
        <v>56</v>
      </c>
      <c r="D114" s="0" t="s">
        <v>55</v>
      </c>
      <c r="E114" s="13" t="n">
        <v>713273</v>
      </c>
      <c r="F114" s="13" t="n">
        <v>695186</v>
      </c>
      <c r="G114" s="13" t="n">
        <v>715764</v>
      </c>
    </row>
    <row r="115" customFormat="false" ht="15" hidden="false" customHeight="false" outlineLevel="0" collapsed="false">
      <c r="A115" s="0" t="s">
        <v>30</v>
      </c>
      <c r="B115" s="0" t="n">
        <v>13</v>
      </c>
      <c r="C115" s="0" t="s">
        <v>56</v>
      </c>
      <c r="D115" s="0" t="s">
        <v>57</v>
      </c>
      <c r="E115" s="13" t="n">
        <v>263363</v>
      </c>
      <c r="F115" s="13" t="n">
        <v>274330</v>
      </c>
      <c r="G115" s="13" t="n">
        <v>270440</v>
      </c>
    </row>
    <row r="116" customFormat="false" ht="15" hidden="false" customHeight="false" outlineLevel="0" collapsed="false">
      <c r="A116" s="0" t="s">
        <v>30</v>
      </c>
      <c r="B116" s="0" t="n">
        <v>13</v>
      </c>
      <c r="C116" s="0" t="s">
        <v>56</v>
      </c>
      <c r="D116" s="0" t="s">
        <v>58</v>
      </c>
      <c r="E116" s="13" t="n">
        <v>71327</v>
      </c>
      <c r="F116" s="13" t="n">
        <v>71932</v>
      </c>
      <c r="G116" s="13" t="n">
        <v>65091</v>
      </c>
    </row>
    <row r="117" customFormat="false" ht="15" hidden="false" customHeight="false" outlineLevel="0" collapsed="false">
      <c r="A117" s="0" t="s">
        <v>30</v>
      </c>
      <c r="B117" s="0" t="n">
        <v>13</v>
      </c>
      <c r="C117" s="0" t="s">
        <v>56</v>
      </c>
      <c r="D117" s="0" t="s">
        <v>59</v>
      </c>
      <c r="E117" s="13" t="n">
        <v>104248</v>
      </c>
      <c r="F117" s="13" t="n">
        <v>100451</v>
      </c>
      <c r="G117" s="13" t="n">
        <v>104848</v>
      </c>
    </row>
    <row r="118" customFormat="false" ht="15" hidden="false" customHeight="false" outlineLevel="0" collapsed="false">
      <c r="A118" s="0" t="s">
        <v>30</v>
      </c>
      <c r="B118" s="0" t="n">
        <v>13</v>
      </c>
      <c r="C118" s="0" t="s">
        <v>56</v>
      </c>
      <c r="D118" s="0" t="s">
        <v>60</v>
      </c>
      <c r="E118" s="13" t="n">
        <v>60354</v>
      </c>
      <c r="F118" s="13" t="n">
        <v>58070</v>
      </c>
      <c r="G118" s="13" t="n">
        <v>53294</v>
      </c>
    </row>
    <row r="119" customFormat="false" ht="15" hidden="false" customHeight="false" outlineLevel="0" collapsed="false">
      <c r="A119" s="0" t="s">
        <v>31</v>
      </c>
      <c r="B119" s="0" t="n">
        <v>14</v>
      </c>
      <c r="C119" s="0" t="s">
        <v>51</v>
      </c>
      <c r="D119" s="0" t="s">
        <v>50</v>
      </c>
      <c r="E119" s="13" t="n">
        <v>547807</v>
      </c>
      <c r="F119" s="13" t="n">
        <v>585087</v>
      </c>
      <c r="G119" s="13" t="n">
        <v>550948</v>
      </c>
    </row>
    <row r="120" customFormat="false" ht="15" hidden="false" customHeight="false" outlineLevel="0" collapsed="false">
      <c r="A120" s="0" t="s">
        <v>31</v>
      </c>
      <c r="B120" s="0" t="n">
        <v>14</v>
      </c>
      <c r="C120" s="0" t="s">
        <v>51</v>
      </c>
      <c r="D120" s="0" t="s">
        <v>52</v>
      </c>
      <c r="E120" s="13" t="n">
        <v>365205</v>
      </c>
      <c r="F120" s="13" t="n">
        <v>399719</v>
      </c>
      <c r="G120" s="13" t="n">
        <v>399081</v>
      </c>
    </row>
    <row r="121" customFormat="false" ht="15" hidden="false" customHeight="false" outlineLevel="0" collapsed="false">
      <c r="A121" s="0" t="s">
        <v>31</v>
      </c>
      <c r="B121" s="0" t="n">
        <v>14</v>
      </c>
      <c r="C121" s="0" t="s">
        <v>51</v>
      </c>
      <c r="D121" s="0" t="s">
        <v>53</v>
      </c>
      <c r="E121" s="13" t="n">
        <v>239666</v>
      </c>
      <c r="F121" s="13" t="n">
        <v>217864</v>
      </c>
      <c r="G121" s="13" t="n">
        <v>211101</v>
      </c>
    </row>
    <row r="122" customFormat="false" ht="15" hidden="false" customHeight="false" outlineLevel="0" collapsed="false">
      <c r="A122" s="0" t="s">
        <v>31</v>
      </c>
      <c r="B122" s="0" t="n">
        <v>14</v>
      </c>
      <c r="C122" s="0" t="s">
        <v>51</v>
      </c>
      <c r="D122" s="0" t="s">
        <v>54</v>
      </c>
      <c r="E122" s="13" t="n">
        <v>159777</v>
      </c>
      <c r="F122" s="13" t="n">
        <v>177233</v>
      </c>
      <c r="G122" s="13" t="n">
        <v>178695</v>
      </c>
    </row>
    <row r="123" customFormat="false" ht="15" hidden="false" customHeight="false" outlineLevel="0" collapsed="false">
      <c r="A123" s="0" t="s">
        <v>31</v>
      </c>
      <c r="B123" s="0" t="n">
        <v>14</v>
      </c>
      <c r="C123" s="0" t="s">
        <v>56</v>
      </c>
      <c r="D123" s="0" t="s">
        <v>55</v>
      </c>
      <c r="E123" s="13" t="n">
        <v>741822</v>
      </c>
      <c r="F123" s="13" t="n">
        <v>738003</v>
      </c>
      <c r="G123" s="13" t="n">
        <v>742647</v>
      </c>
    </row>
    <row r="124" customFormat="false" ht="15" hidden="false" customHeight="false" outlineLevel="0" collapsed="false">
      <c r="A124" s="0" t="s">
        <v>31</v>
      </c>
      <c r="B124" s="0" t="n">
        <v>14</v>
      </c>
      <c r="C124" s="0" t="s">
        <v>56</v>
      </c>
      <c r="D124" s="0" t="s">
        <v>57</v>
      </c>
      <c r="E124" s="13" t="n">
        <v>273904</v>
      </c>
      <c r="F124" s="13" t="n">
        <v>271035</v>
      </c>
      <c r="G124" s="13" t="n">
        <v>264022</v>
      </c>
    </row>
    <row r="125" customFormat="false" ht="15" hidden="false" customHeight="false" outlineLevel="0" collapsed="false">
      <c r="A125" s="0" t="s">
        <v>31</v>
      </c>
      <c r="B125" s="0" t="n">
        <v>14</v>
      </c>
      <c r="C125" s="0" t="s">
        <v>56</v>
      </c>
      <c r="D125" s="0" t="s">
        <v>58</v>
      </c>
      <c r="E125" s="13" t="n">
        <v>74182</v>
      </c>
      <c r="F125" s="13" t="n">
        <v>76950</v>
      </c>
      <c r="G125" s="13" t="n">
        <v>81468</v>
      </c>
    </row>
    <row r="126" customFormat="false" ht="15" hidden="false" customHeight="false" outlineLevel="0" collapsed="false">
      <c r="A126" s="0" t="s">
        <v>31</v>
      </c>
      <c r="B126" s="0" t="n">
        <v>14</v>
      </c>
      <c r="C126" s="0" t="s">
        <v>56</v>
      </c>
      <c r="D126" s="0" t="s">
        <v>59</v>
      </c>
      <c r="E126" s="13" t="n">
        <v>108420</v>
      </c>
      <c r="F126" s="13" t="n">
        <v>108979</v>
      </c>
      <c r="G126" s="13" t="n">
        <v>115887</v>
      </c>
    </row>
    <row r="127" customFormat="false" ht="15" hidden="false" customHeight="false" outlineLevel="0" collapsed="false">
      <c r="A127" s="0" t="s">
        <v>31</v>
      </c>
      <c r="B127" s="0" t="n">
        <v>14</v>
      </c>
      <c r="C127" s="0" t="s">
        <v>56</v>
      </c>
      <c r="D127" s="0" t="s">
        <v>60</v>
      </c>
      <c r="E127" s="13" t="n">
        <v>62770</v>
      </c>
      <c r="F127" s="13" t="n">
        <v>66948</v>
      </c>
      <c r="G127" s="13" t="n">
        <v>62879</v>
      </c>
    </row>
    <row r="128" customFormat="false" ht="15" hidden="false" customHeight="false" outlineLevel="0" collapsed="false">
      <c r="A128" s="0" t="s">
        <v>32</v>
      </c>
      <c r="B128" s="0" t="n">
        <v>15</v>
      </c>
      <c r="C128" s="0" t="s">
        <v>51</v>
      </c>
      <c r="D128" s="0" t="s">
        <v>50</v>
      </c>
      <c r="E128" s="13" t="n">
        <v>560909</v>
      </c>
      <c r="F128" s="13" t="n">
        <v>588480</v>
      </c>
      <c r="G128" s="13" t="n">
        <v>623890</v>
      </c>
    </row>
    <row r="129" customFormat="false" ht="15" hidden="false" customHeight="false" outlineLevel="0" collapsed="false">
      <c r="A129" s="0" t="s">
        <v>32</v>
      </c>
      <c r="B129" s="0" t="n">
        <v>15</v>
      </c>
      <c r="C129" s="0" t="s">
        <v>51</v>
      </c>
      <c r="D129" s="0" t="s">
        <v>52</v>
      </c>
      <c r="E129" s="13" t="n">
        <v>373940</v>
      </c>
      <c r="F129" s="13" t="n">
        <v>321070</v>
      </c>
      <c r="G129" s="13" t="n">
        <v>312880</v>
      </c>
    </row>
    <row r="130" customFormat="false" ht="15" hidden="false" customHeight="false" outlineLevel="0" collapsed="false">
      <c r="A130" s="0" t="s">
        <v>32</v>
      </c>
      <c r="B130" s="0" t="n">
        <v>15</v>
      </c>
      <c r="C130" s="0" t="s">
        <v>51</v>
      </c>
      <c r="D130" s="0" t="s">
        <v>53</v>
      </c>
      <c r="E130" s="13" t="n">
        <v>245398</v>
      </c>
      <c r="F130" s="13" t="n">
        <v>253206</v>
      </c>
      <c r="G130" s="13" t="n">
        <v>242991</v>
      </c>
    </row>
    <row r="131" customFormat="false" ht="15" hidden="false" customHeight="false" outlineLevel="0" collapsed="false">
      <c r="A131" s="0" t="s">
        <v>32</v>
      </c>
      <c r="B131" s="0" t="n">
        <v>15</v>
      </c>
      <c r="C131" s="0" t="s">
        <v>51</v>
      </c>
      <c r="D131" s="0" t="s">
        <v>54</v>
      </c>
      <c r="E131" s="13" t="n">
        <v>163599</v>
      </c>
      <c r="F131" s="13" t="n">
        <v>163452</v>
      </c>
      <c r="G131" s="13" t="n">
        <v>160844</v>
      </c>
    </row>
    <row r="132" customFormat="false" ht="15" hidden="false" customHeight="false" outlineLevel="0" collapsed="false">
      <c r="A132" s="0" t="s">
        <v>32</v>
      </c>
      <c r="B132" s="0" t="n">
        <v>15</v>
      </c>
      <c r="C132" s="0" t="s">
        <v>56</v>
      </c>
      <c r="D132" s="0" t="s">
        <v>55</v>
      </c>
      <c r="E132" s="13" t="n">
        <v>759565</v>
      </c>
      <c r="F132" s="13" t="n">
        <v>714327</v>
      </c>
      <c r="G132" s="13" t="n">
        <v>708382</v>
      </c>
    </row>
    <row r="133" customFormat="false" ht="15" hidden="false" customHeight="false" outlineLevel="0" collapsed="false">
      <c r="A133" s="0" t="s">
        <v>32</v>
      </c>
      <c r="B133" s="0" t="n">
        <v>15</v>
      </c>
      <c r="C133" s="0" t="s">
        <v>56</v>
      </c>
      <c r="D133" s="0" t="s">
        <v>57</v>
      </c>
      <c r="E133" s="13" t="n">
        <v>280455</v>
      </c>
      <c r="F133" s="13" t="n">
        <v>271892</v>
      </c>
      <c r="G133" s="13" t="n">
        <v>270255</v>
      </c>
    </row>
    <row r="134" customFormat="false" ht="15" hidden="false" customHeight="false" outlineLevel="0" collapsed="false">
      <c r="A134" s="0" t="s">
        <v>32</v>
      </c>
      <c r="B134" s="0" t="n">
        <v>15</v>
      </c>
      <c r="C134" s="0" t="s">
        <v>56</v>
      </c>
      <c r="D134" s="0" t="s">
        <v>58</v>
      </c>
      <c r="E134" s="13" t="n">
        <v>75956</v>
      </c>
      <c r="F134" s="13" t="n">
        <v>75304</v>
      </c>
      <c r="G134" s="13" t="n">
        <v>72897</v>
      </c>
    </row>
    <row r="135" customFormat="false" ht="15" hidden="false" customHeight="false" outlineLevel="0" collapsed="false">
      <c r="A135" s="0" t="s">
        <v>32</v>
      </c>
      <c r="B135" s="0" t="n">
        <v>15</v>
      </c>
      <c r="C135" s="0" t="s">
        <v>56</v>
      </c>
      <c r="D135" s="0" t="s">
        <v>59</v>
      </c>
      <c r="E135" s="13" t="n">
        <v>111013</v>
      </c>
      <c r="F135" s="13" t="n">
        <v>104859</v>
      </c>
      <c r="G135" s="13" t="n">
        <v>101750</v>
      </c>
    </row>
    <row r="136" customFormat="false" ht="15" hidden="false" customHeight="false" outlineLevel="0" collapsed="false">
      <c r="A136" s="0" t="s">
        <v>32</v>
      </c>
      <c r="B136" s="0" t="n">
        <v>15</v>
      </c>
      <c r="C136" s="0" t="s">
        <v>56</v>
      </c>
      <c r="D136" s="0" t="s">
        <v>60</v>
      </c>
      <c r="E136" s="13" t="n">
        <v>64271</v>
      </c>
      <c r="F136" s="13" t="n">
        <v>65668</v>
      </c>
      <c r="G136" s="13" t="n">
        <v>62659</v>
      </c>
    </row>
    <row r="137" customFormat="false" ht="15" hidden="false" customHeight="false" outlineLevel="0" collapsed="false">
      <c r="A137" s="0" t="s">
        <v>33</v>
      </c>
      <c r="B137" s="0" t="n">
        <v>16</v>
      </c>
      <c r="C137" s="0" t="s">
        <v>51</v>
      </c>
      <c r="D137" s="0" t="s">
        <v>50</v>
      </c>
      <c r="E137" s="13" t="n">
        <v>563187</v>
      </c>
      <c r="F137" s="13" t="n">
        <v>611250</v>
      </c>
      <c r="G137" s="13" t="n">
        <v>583090</v>
      </c>
    </row>
    <row r="138" customFormat="false" ht="15" hidden="false" customHeight="false" outlineLevel="0" collapsed="false">
      <c r="A138" s="0" t="s">
        <v>33</v>
      </c>
      <c r="B138" s="0" t="n">
        <v>16</v>
      </c>
      <c r="C138" s="0" t="s">
        <v>51</v>
      </c>
      <c r="D138" s="0" t="s">
        <v>52</v>
      </c>
      <c r="E138" s="13" t="n">
        <v>375458</v>
      </c>
      <c r="F138" s="13" t="n">
        <v>421839</v>
      </c>
      <c r="G138" s="13" t="n">
        <v>414867</v>
      </c>
    </row>
    <row r="139" customFormat="false" ht="15" hidden="false" customHeight="false" outlineLevel="0" collapsed="false">
      <c r="A139" s="0" t="s">
        <v>33</v>
      </c>
      <c r="B139" s="0" t="n">
        <v>16</v>
      </c>
      <c r="C139" s="0" t="s">
        <v>51</v>
      </c>
      <c r="D139" s="0" t="s">
        <v>53</v>
      </c>
      <c r="E139" s="13" t="n">
        <v>246394</v>
      </c>
      <c r="F139" s="13" t="n">
        <v>236305</v>
      </c>
      <c r="G139" s="13" t="n">
        <v>229293</v>
      </c>
    </row>
    <row r="140" customFormat="false" ht="15" hidden="false" customHeight="false" outlineLevel="0" collapsed="false">
      <c r="A140" s="0" t="s">
        <v>33</v>
      </c>
      <c r="B140" s="0" t="n">
        <v>16</v>
      </c>
      <c r="C140" s="0" t="s">
        <v>51</v>
      </c>
      <c r="D140" s="0" t="s">
        <v>54</v>
      </c>
      <c r="E140" s="13" t="n">
        <v>164263</v>
      </c>
      <c r="F140" s="13" t="n">
        <v>168313</v>
      </c>
      <c r="G140" s="13" t="n">
        <v>168717</v>
      </c>
    </row>
    <row r="141" customFormat="false" ht="15" hidden="false" customHeight="false" outlineLevel="0" collapsed="false">
      <c r="A141" s="0" t="s">
        <v>33</v>
      </c>
      <c r="B141" s="0" t="n">
        <v>16</v>
      </c>
      <c r="C141" s="0" t="s">
        <v>56</v>
      </c>
      <c r="D141" s="0" t="s">
        <v>55</v>
      </c>
      <c r="E141" s="13" t="n">
        <v>762648</v>
      </c>
      <c r="F141" s="13" t="n">
        <v>715843</v>
      </c>
      <c r="G141" s="13" t="n">
        <v>717918</v>
      </c>
    </row>
    <row r="142" customFormat="false" ht="15" hidden="false" customHeight="false" outlineLevel="0" collapsed="false">
      <c r="A142" s="0" t="s">
        <v>33</v>
      </c>
      <c r="B142" s="0" t="n">
        <v>16</v>
      </c>
      <c r="C142" s="0" t="s">
        <v>56</v>
      </c>
      <c r="D142" s="0" t="s">
        <v>57</v>
      </c>
      <c r="E142" s="13" t="n">
        <v>281593</v>
      </c>
      <c r="F142" s="13" t="n">
        <v>288007</v>
      </c>
      <c r="G142" s="13" t="n">
        <v>289214</v>
      </c>
    </row>
    <row r="143" customFormat="false" ht="15" hidden="false" customHeight="false" outlineLevel="0" collapsed="false">
      <c r="A143" s="0" t="s">
        <v>33</v>
      </c>
      <c r="B143" s="0" t="n">
        <v>16</v>
      </c>
      <c r="C143" s="0" t="s">
        <v>56</v>
      </c>
      <c r="D143" s="0" t="s">
        <v>58</v>
      </c>
      <c r="E143" s="13" t="n">
        <v>76265</v>
      </c>
      <c r="F143" s="13" t="n">
        <v>81821</v>
      </c>
      <c r="G143" s="13" t="n">
        <v>73398</v>
      </c>
    </row>
    <row r="144" customFormat="false" ht="15" hidden="false" customHeight="false" outlineLevel="0" collapsed="false">
      <c r="A144" s="0" t="s">
        <v>33</v>
      </c>
      <c r="B144" s="0" t="n">
        <v>16</v>
      </c>
      <c r="C144" s="0" t="s">
        <v>56</v>
      </c>
      <c r="D144" s="0" t="s">
        <v>59</v>
      </c>
      <c r="E144" s="13" t="n">
        <v>111464</v>
      </c>
      <c r="F144" s="13" t="n">
        <v>109443</v>
      </c>
      <c r="G144" s="13" t="n">
        <v>106340</v>
      </c>
    </row>
    <row r="145" customFormat="false" ht="15" hidden="false" customHeight="false" outlineLevel="0" collapsed="false">
      <c r="A145" s="0" t="s">
        <v>33</v>
      </c>
      <c r="B145" s="0" t="n">
        <v>16</v>
      </c>
      <c r="C145" s="0" t="s">
        <v>56</v>
      </c>
      <c r="D145" s="0" t="s">
        <v>60</v>
      </c>
      <c r="E145" s="13" t="n">
        <v>64532</v>
      </c>
      <c r="F145" s="13" t="n">
        <v>66046</v>
      </c>
      <c r="G145" s="13" t="n">
        <v>70978</v>
      </c>
    </row>
    <row r="146" customFormat="false" ht="15" hidden="false" customHeight="false" outlineLevel="0" collapsed="false">
      <c r="A146" s="0" t="s">
        <v>34</v>
      </c>
      <c r="B146" s="0" t="n">
        <v>17</v>
      </c>
      <c r="C146" s="0" t="s">
        <v>51</v>
      </c>
      <c r="D146" s="0" t="s">
        <v>50</v>
      </c>
      <c r="E146" s="13" t="n">
        <v>554681</v>
      </c>
      <c r="F146" s="13" t="n">
        <v>498637</v>
      </c>
      <c r="G146" s="13" t="n">
        <v>478569</v>
      </c>
    </row>
    <row r="147" customFormat="false" ht="15" hidden="false" customHeight="false" outlineLevel="0" collapsed="false">
      <c r="A147" s="0" t="s">
        <v>34</v>
      </c>
      <c r="B147" s="0" t="n">
        <v>17</v>
      </c>
      <c r="C147" s="0" t="s">
        <v>51</v>
      </c>
      <c r="D147" s="0" t="s">
        <v>52</v>
      </c>
      <c r="E147" s="13" t="n">
        <v>369788</v>
      </c>
      <c r="F147" s="13" t="n">
        <v>362384</v>
      </c>
      <c r="G147" s="13" t="n">
        <v>377131</v>
      </c>
    </row>
    <row r="148" customFormat="false" ht="15" hidden="false" customHeight="false" outlineLevel="0" collapsed="false">
      <c r="A148" s="0" t="s">
        <v>34</v>
      </c>
      <c r="B148" s="0" t="n">
        <v>17</v>
      </c>
      <c r="C148" s="0" t="s">
        <v>51</v>
      </c>
      <c r="D148" s="0" t="s">
        <v>53</v>
      </c>
      <c r="E148" s="13" t="n">
        <v>242673</v>
      </c>
      <c r="F148" s="13" t="n">
        <v>259846</v>
      </c>
      <c r="G148" s="13" t="n">
        <v>251093</v>
      </c>
    </row>
    <row r="149" customFormat="false" ht="15" hidden="false" customHeight="false" outlineLevel="0" collapsed="false">
      <c r="A149" s="0" t="s">
        <v>34</v>
      </c>
      <c r="B149" s="0" t="n">
        <v>17</v>
      </c>
      <c r="C149" s="0" t="s">
        <v>51</v>
      </c>
      <c r="D149" s="0" t="s">
        <v>54</v>
      </c>
      <c r="E149" s="13" t="n">
        <v>161782</v>
      </c>
      <c r="F149" s="13" t="n">
        <v>171211</v>
      </c>
      <c r="G149" s="13" t="n">
        <v>170621</v>
      </c>
    </row>
    <row r="150" customFormat="false" ht="15" hidden="false" customHeight="false" outlineLevel="0" collapsed="false">
      <c r="A150" s="0" t="s">
        <v>34</v>
      </c>
      <c r="B150" s="0" t="n">
        <v>17</v>
      </c>
      <c r="C150" s="0" t="s">
        <v>56</v>
      </c>
      <c r="D150" s="0" t="s">
        <v>55</v>
      </c>
      <c r="E150" s="13" t="n">
        <v>751131</v>
      </c>
      <c r="F150" s="13" t="n">
        <v>796760</v>
      </c>
      <c r="G150" s="13" t="n">
        <v>799164</v>
      </c>
    </row>
    <row r="151" customFormat="false" ht="15" hidden="false" customHeight="false" outlineLevel="0" collapsed="false">
      <c r="A151" s="0" t="s">
        <v>34</v>
      </c>
      <c r="B151" s="0" t="n">
        <v>17</v>
      </c>
      <c r="C151" s="0" t="s">
        <v>56</v>
      </c>
      <c r="D151" s="0" t="s">
        <v>57</v>
      </c>
      <c r="E151" s="13" t="n">
        <v>277341</v>
      </c>
      <c r="F151" s="13" t="n">
        <v>286483</v>
      </c>
      <c r="G151" s="13" t="n">
        <v>286721</v>
      </c>
    </row>
    <row r="152" customFormat="false" ht="15" hidden="false" customHeight="false" outlineLevel="0" collapsed="false">
      <c r="A152" s="0" t="s">
        <v>34</v>
      </c>
      <c r="B152" s="0" t="n">
        <v>17</v>
      </c>
      <c r="C152" s="0" t="s">
        <v>56</v>
      </c>
      <c r="D152" s="0" t="s">
        <v>58</v>
      </c>
      <c r="E152" s="13" t="n">
        <v>75113</v>
      </c>
      <c r="F152" s="13" t="n">
        <v>71176</v>
      </c>
      <c r="G152" s="13" t="n">
        <v>68526</v>
      </c>
    </row>
    <row r="153" customFormat="false" ht="15" hidden="false" customHeight="false" outlineLevel="0" collapsed="false">
      <c r="A153" s="0" t="s">
        <v>34</v>
      </c>
      <c r="B153" s="0" t="n">
        <v>17</v>
      </c>
      <c r="C153" s="0" t="s">
        <v>56</v>
      </c>
      <c r="D153" s="0" t="s">
        <v>59</v>
      </c>
      <c r="E153" s="13" t="n">
        <v>109781</v>
      </c>
      <c r="F153" s="13" t="n">
        <v>113031</v>
      </c>
      <c r="G153" s="13" t="n">
        <v>109829</v>
      </c>
    </row>
    <row r="154" customFormat="false" ht="15" hidden="false" customHeight="false" outlineLevel="0" collapsed="false">
      <c r="A154" s="0" t="s">
        <v>34</v>
      </c>
      <c r="B154" s="0" t="n">
        <v>17</v>
      </c>
      <c r="C154" s="0" t="s">
        <v>56</v>
      </c>
      <c r="D154" s="0" t="s">
        <v>60</v>
      </c>
      <c r="E154" s="13" t="n">
        <v>63557</v>
      </c>
      <c r="F154" s="13" t="n">
        <v>59787</v>
      </c>
      <c r="G154" s="13" t="n">
        <v>59277</v>
      </c>
    </row>
    <row r="155" customFormat="false" ht="15" hidden="false" customHeight="false" outlineLevel="0" collapsed="false">
      <c r="A155" s="0" t="s">
        <v>35</v>
      </c>
      <c r="B155" s="0" t="n">
        <v>18</v>
      </c>
      <c r="C155" s="0" t="s">
        <v>51</v>
      </c>
      <c r="D155" s="0" t="s">
        <v>50</v>
      </c>
      <c r="E155" s="13" t="n">
        <v>538343</v>
      </c>
      <c r="F155" s="13" t="n">
        <v>556116</v>
      </c>
      <c r="G155" s="13" t="n">
        <v>572405</v>
      </c>
    </row>
    <row r="156" customFormat="false" ht="15" hidden="false" customHeight="false" outlineLevel="0" collapsed="false">
      <c r="A156" s="0" t="s">
        <v>35</v>
      </c>
      <c r="B156" s="0" t="n">
        <v>18</v>
      </c>
      <c r="C156" s="0" t="s">
        <v>51</v>
      </c>
      <c r="D156" s="0" t="s">
        <v>52</v>
      </c>
      <c r="E156" s="13" t="n">
        <v>358896</v>
      </c>
      <c r="F156" s="13" t="n">
        <v>341460</v>
      </c>
      <c r="G156" s="13" t="n">
        <v>339146</v>
      </c>
    </row>
    <row r="157" customFormat="false" ht="15" hidden="false" customHeight="false" outlineLevel="0" collapsed="false">
      <c r="A157" s="0" t="s">
        <v>35</v>
      </c>
      <c r="B157" s="0" t="n">
        <v>18</v>
      </c>
      <c r="C157" s="0" t="s">
        <v>51</v>
      </c>
      <c r="D157" s="0" t="s">
        <v>53</v>
      </c>
      <c r="E157" s="13" t="n">
        <v>235525</v>
      </c>
      <c r="F157" s="13" t="n">
        <v>244846</v>
      </c>
      <c r="G157" s="13" t="n">
        <v>237780</v>
      </c>
    </row>
    <row r="158" customFormat="false" ht="15" hidden="false" customHeight="false" outlineLevel="0" collapsed="false">
      <c r="A158" s="0" t="s">
        <v>35</v>
      </c>
      <c r="B158" s="0" t="n">
        <v>18</v>
      </c>
      <c r="C158" s="0" t="s">
        <v>51</v>
      </c>
      <c r="D158" s="0" t="s">
        <v>54</v>
      </c>
      <c r="E158" s="13" t="n">
        <v>157017</v>
      </c>
      <c r="F158" s="13" t="n">
        <v>167679</v>
      </c>
      <c r="G158" s="13" t="n">
        <v>168913</v>
      </c>
    </row>
    <row r="159" customFormat="false" ht="15" hidden="false" customHeight="false" outlineLevel="0" collapsed="false">
      <c r="A159" s="0" t="s">
        <v>35</v>
      </c>
      <c r="B159" s="0" t="n">
        <v>18</v>
      </c>
      <c r="C159" s="0" t="s">
        <v>56</v>
      </c>
      <c r="D159" s="0" t="s">
        <v>55</v>
      </c>
      <c r="E159" s="13" t="n">
        <v>729007</v>
      </c>
      <c r="F159" s="13" t="n">
        <v>685494</v>
      </c>
      <c r="G159" s="13" t="n">
        <v>702982</v>
      </c>
    </row>
    <row r="160" customFormat="false" ht="15" hidden="false" customHeight="false" outlineLevel="0" collapsed="false">
      <c r="A160" s="0" t="s">
        <v>35</v>
      </c>
      <c r="B160" s="0" t="n">
        <v>18</v>
      </c>
      <c r="C160" s="0" t="s">
        <v>56</v>
      </c>
      <c r="D160" s="0" t="s">
        <v>57</v>
      </c>
      <c r="E160" s="13" t="n">
        <v>269172</v>
      </c>
      <c r="F160" s="13" t="n">
        <v>264582</v>
      </c>
      <c r="G160" s="13" t="n">
        <v>281322</v>
      </c>
    </row>
    <row r="161" customFormat="false" ht="15" hidden="false" customHeight="false" outlineLevel="0" collapsed="false">
      <c r="A161" s="0" t="s">
        <v>35</v>
      </c>
      <c r="B161" s="0" t="n">
        <v>18</v>
      </c>
      <c r="C161" s="0" t="s">
        <v>56</v>
      </c>
      <c r="D161" s="0" t="s">
        <v>58</v>
      </c>
      <c r="E161" s="13" t="n">
        <v>72901</v>
      </c>
      <c r="F161" s="13" t="n">
        <v>72245</v>
      </c>
      <c r="G161" s="13" t="n">
        <v>76676</v>
      </c>
    </row>
    <row r="162" customFormat="false" ht="15" hidden="false" customHeight="false" outlineLevel="0" collapsed="false">
      <c r="A162" s="0" t="s">
        <v>35</v>
      </c>
      <c r="B162" s="0" t="n">
        <v>18</v>
      </c>
      <c r="C162" s="0" t="s">
        <v>56</v>
      </c>
      <c r="D162" s="0" t="s">
        <v>59</v>
      </c>
      <c r="E162" s="13" t="n">
        <v>106547</v>
      </c>
      <c r="F162" s="13" t="n">
        <v>121223</v>
      </c>
      <c r="G162" s="13" t="n">
        <v>124166</v>
      </c>
    </row>
    <row r="163" customFormat="false" ht="15" hidden="false" customHeight="false" outlineLevel="0" collapsed="false">
      <c r="A163" s="0" t="s">
        <v>35</v>
      </c>
      <c r="B163" s="0" t="n">
        <v>18</v>
      </c>
      <c r="C163" s="0" t="s">
        <v>56</v>
      </c>
      <c r="D163" s="0" t="s">
        <v>60</v>
      </c>
      <c r="E163" s="13" t="n">
        <v>61685</v>
      </c>
      <c r="F163" s="13" t="n">
        <v>63705</v>
      </c>
      <c r="G163" s="13" t="n">
        <v>62852</v>
      </c>
    </row>
    <row r="164" customFormat="false" ht="15" hidden="false" customHeight="false" outlineLevel="0" collapsed="false">
      <c r="A164" s="0" t="s">
        <v>36</v>
      </c>
      <c r="B164" s="0" t="n">
        <v>19</v>
      </c>
      <c r="C164" s="0" t="s">
        <v>51</v>
      </c>
      <c r="D164" s="0" t="s">
        <v>50</v>
      </c>
      <c r="E164" s="13" t="n">
        <v>519266</v>
      </c>
      <c r="F164" s="13" t="n">
        <v>524791</v>
      </c>
      <c r="G164" s="13" t="n">
        <v>544702</v>
      </c>
    </row>
    <row r="165" customFormat="false" ht="15" hidden="false" customHeight="false" outlineLevel="0" collapsed="false">
      <c r="A165" s="0" t="s">
        <v>36</v>
      </c>
      <c r="B165" s="0" t="n">
        <v>19</v>
      </c>
      <c r="C165" s="0" t="s">
        <v>51</v>
      </c>
      <c r="D165" s="0" t="s">
        <v>52</v>
      </c>
      <c r="E165" s="13" t="n">
        <v>346178</v>
      </c>
      <c r="F165" s="13" t="n">
        <v>395705</v>
      </c>
      <c r="G165" s="13" t="n">
        <v>418386</v>
      </c>
    </row>
    <row r="166" customFormat="false" ht="15" hidden="false" customHeight="false" outlineLevel="0" collapsed="false">
      <c r="A166" s="0" t="s">
        <v>36</v>
      </c>
      <c r="B166" s="0" t="n">
        <v>19</v>
      </c>
      <c r="C166" s="0" t="s">
        <v>51</v>
      </c>
      <c r="D166" s="0" t="s">
        <v>53</v>
      </c>
      <c r="E166" s="13" t="n">
        <v>227179</v>
      </c>
      <c r="F166" s="13" t="n">
        <v>214952</v>
      </c>
      <c r="G166" s="13" t="n">
        <v>227748</v>
      </c>
    </row>
    <row r="167" customFormat="false" ht="15" hidden="false" customHeight="false" outlineLevel="0" collapsed="false">
      <c r="A167" s="0" t="s">
        <v>36</v>
      </c>
      <c r="B167" s="0" t="n">
        <v>19</v>
      </c>
      <c r="C167" s="0" t="s">
        <v>51</v>
      </c>
      <c r="D167" s="0" t="s">
        <v>54</v>
      </c>
      <c r="E167" s="13" t="n">
        <v>151453</v>
      </c>
      <c r="F167" s="13" t="n">
        <v>144442</v>
      </c>
      <c r="G167" s="13" t="n">
        <v>156550</v>
      </c>
    </row>
    <row r="168" customFormat="false" ht="15" hidden="false" customHeight="false" outlineLevel="0" collapsed="false">
      <c r="A168" s="0" t="s">
        <v>36</v>
      </c>
      <c r="B168" s="0" t="n">
        <v>19</v>
      </c>
      <c r="C168" s="0" t="s">
        <v>56</v>
      </c>
      <c r="D168" s="0" t="s">
        <v>55</v>
      </c>
      <c r="E168" s="13" t="n">
        <v>703173</v>
      </c>
      <c r="F168" s="13" t="n">
        <v>755903</v>
      </c>
      <c r="G168" s="13" t="n">
        <v>772397</v>
      </c>
    </row>
    <row r="169" customFormat="false" ht="15" hidden="false" customHeight="false" outlineLevel="0" collapsed="false">
      <c r="A169" s="0" t="s">
        <v>36</v>
      </c>
      <c r="B169" s="0" t="n">
        <v>19</v>
      </c>
      <c r="C169" s="0" t="s">
        <v>56</v>
      </c>
      <c r="D169" s="0" t="s">
        <v>57</v>
      </c>
      <c r="E169" s="13" t="n">
        <v>259633</v>
      </c>
      <c r="F169" s="13" t="n">
        <v>241225</v>
      </c>
      <c r="G169" s="13" t="n">
        <v>247667</v>
      </c>
    </row>
    <row r="170" customFormat="false" ht="15" hidden="false" customHeight="false" outlineLevel="0" collapsed="false">
      <c r="A170" s="0" t="s">
        <v>36</v>
      </c>
      <c r="B170" s="0" t="n">
        <v>19</v>
      </c>
      <c r="C170" s="0" t="s">
        <v>56</v>
      </c>
      <c r="D170" s="0" t="s">
        <v>58</v>
      </c>
      <c r="E170" s="13" t="n">
        <v>70317</v>
      </c>
      <c r="F170" s="13" t="n">
        <v>67626</v>
      </c>
      <c r="G170" s="13" t="n">
        <v>65689</v>
      </c>
    </row>
    <row r="171" customFormat="false" ht="15" hidden="false" customHeight="false" outlineLevel="0" collapsed="false">
      <c r="A171" s="0" t="s">
        <v>36</v>
      </c>
      <c r="B171" s="0" t="n">
        <v>19</v>
      </c>
      <c r="C171" s="0" t="s">
        <v>56</v>
      </c>
      <c r="D171" s="0" t="s">
        <v>59</v>
      </c>
      <c r="E171" s="13" t="n">
        <v>102771</v>
      </c>
      <c r="F171" s="13" t="n">
        <v>102189</v>
      </c>
      <c r="G171" s="13" t="n">
        <v>95651</v>
      </c>
    </row>
    <row r="172" customFormat="false" ht="15" hidden="false" customHeight="false" outlineLevel="0" collapsed="false">
      <c r="A172" s="0" t="s">
        <v>36</v>
      </c>
      <c r="B172" s="0" t="n">
        <v>19</v>
      </c>
      <c r="C172" s="0" t="s">
        <v>56</v>
      </c>
      <c r="D172" s="0" t="s">
        <v>60</v>
      </c>
      <c r="E172" s="13" t="n">
        <v>59499</v>
      </c>
      <c r="F172" s="13" t="n">
        <v>59819</v>
      </c>
      <c r="G172" s="13" t="n">
        <v>60730</v>
      </c>
    </row>
    <row r="173" customFormat="false" ht="15" hidden="false" customHeight="false" outlineLevel="0" collapsed="false">
      <c r="A173" s="0" t="s">
        <v>37</v>
      </c>
      <c r="B173" s="0" t="n">
        <v>20</v>
      </c>
      <c r="C173" s="0" t="s">
        <v>51</v>
      </c>
      <c r="D173" s="0" t="s">
        <v>50</v>
      </c>
      <c r="E173" s="13" t="n">
        <v>503339</v>
      </c>
      <c r="F173" s="13" t="n">
        <v>534657</v>
      </c>
      <c r="G173" s="13" t="n">
        <v>520302</v>
      </c>
    </row>
    <row r="174" customFormat="false" ht="15" hidden="false" customHeight="false" outlineLevel="0" collapsed="false">
      <c r="A174" s="0" t="s">
        <v>37</v>
      </c>
      <c r="B174" s="0" t="n">
        <v>20</v>
      </c>
      <c r="C174" s="0" t="s">
        <v>51</v>
      </c>
      <c r="D174" s="0" t="s">
        <v>52</v>
      </c>
      <c r="E174" s="13" t="n">
        <v>335559</v>
      </c>
      <c r="F174" s="13" t="n">
        <v>324205</v>
      </c>
      <c r="G174" s="13" t="n">
        <v>343905</v>
      </c>
    </row>
    <row r="175" customFormat="false" ht="15" hidden="false" customHeight="false" outlineLevel="0" collapsed="false">
      <c r="A175" s="0" t="s">
        <v>37</v>
      </c>
      <c r="B175" s="0" t="n">
        <v>20</v>
      </c>
      <c r="C175" s="0" t="s">
        <v>51</v>
      </c>
      <c r="D175" s="0" t="s">
        <v>53</v>
      </c>
      <c r="E175" s="13" t="n">
        <v>220211</v>
      </c>
      <c r="F175" s="13" t="n">
        <v>239450</v>
      </c>
      <c r="G175" s="13" t="n">
        <v>221380</v>
      </c>
    </row>
    <row r="176" customFormat="false" ht="15" hidden="false" customHeight="false" outlineLevel="0" collapsed="false">
      <c r="A176" s="0" t="s">
        <v>37</v>
      </c>
      <c r="B176" s="0" t="n">
        <v>20</v>
      </c>
      <c r="C176" s="0" t="s">
        <v>51</v>
      </c>
      <c r="D176" s="0" t="s">
        <v>54</v>
      </c>
      <c r="E176" s="13" t="n">
        <v>146807</v>
      </c>
      <c r="F176" s="13" t="n">
        <v>152564</v>
      </c>
      <c r="G176" s="13" t="n">
        <v>159466</v>
      </c>
    </row>
    <row r="177" customFormat="false" ht="15" hidden="false" customHeight="false" outlineLevel="0" collapsed="false">
      <c r="A177" s="0" t="s">
        <v>37</v>
      </c>
      <c r="B177" s="0" t="n">
        <v>20</v>
      </c>
      <c r="C177" s="0" t="s">
        <v>56</v>
      </c>
      <c r="D177" s="0" t="s">
        <v>55</v>
      </c>
      <c r="E177" s="13" t="n">
        <v>681604</v>
      </c>
      <c r="F177" s="13" t="n">
        <v>653155</v>
      </c>
      <c r="G177" s="13" t="n">
        <v>678991</v>
      </c>
    </row>
    <row r="178" customFormat="false" ht="15" hidden="false" customHeight="false" outlineLevel="0" collapsed="false">
      <c r="A178" s="0" t="s">
        <v>37</v>
      </c>
      <c r="B178" s="0" t="n">
        <v>20</v>
      </c>
      <c r="C178" s="0" t="s">
        <v>56</v>
      </c>
      <c r="D178" s="0" t="s">
        <v>57</v>
      </c>
      <c r="E178" s="13" t="n">
        <v>251669</v>
      </c>
      <c r="F178" s="13" t="n">
        <v>247908</v>
      </c>
      <c r="G178" s="13" t="n">
        <v>244124</v>
      </c>
    </row>
    <row r="179" customFormat="false" ht="15" hidden="false" customHeight="false" outlineLevel="0" collapsed="false">
      <c r="A179" s="0" t="s">
        <v>37</v>
      </c>
      <c r="B179" s="0" t="n">
        <v>20</v>
      </c>
      <c r="C179" s="0" t="s">
        <v>56</v>
      </c>
      <c r="D179" s="0" t="s">
        <v>58</v>
      </c>
      <c r="E179" s="13" t="n">
        <v>68160</v>
      </c>
      <c r="F179" s="13" t="n">
        <v>63156</v>
      </c>
      <c r="G179" s="13" t="n">
        <v>66556</v>
      </c>
    </row>
    <row r="180" customFormat="false" ht="15" hidden="false" customHeight="false" outlineLevel="0" collapsed="false">
      <c r="A180" s="0" t="s">
        <v>37</v>
      </c>
      <c r="B180" s="0" t="n">
        <v>20</v>
      </c>
      <c r="C180" s="0" t="s">
        <v>56</v>
      </c>
      <c r="D180" s="0" t="s">
        <v>59</v>
      </c>
      <c r="E180" s="13" t="n">
        <v>99619</v>
      </c>
      <c r="F180" s="13" t="n">
        <v>93619</v>
      </c>
      <c r="G180" s="13" t="n">
        <v>81277</v>
      </c>
    </row>
    <row r="181" customFormat="false" ht="15" hidden="false" customHeight="false" outlineLevel="0" collapsed="false">
      <c r="A181" s="0" t="s">
        <v>37</v>
      </c>
      <c r="B181" s="0" t="n">
        <v>20</v>
      </c>
      <c r="C181" s="0" t="s">
        <v>56</v>
      </c>
      <c r="D181" s="0" t="s">
        <v>60</v>
      </c>
      <c r="E181" s="13" t="n">
        <v>57674</v>
      </c>
      <c r="F181" s="13" t="n">
        <v>52523</v>
      </c>
      <c r="G181" s="13" t="n">
        <v>50809</v>
      </c>
    </row>
    <row r="182" customFormat="false" ht="15" hidden="false" customHeight="false" outlineLevel="0" collapsed="false">
      <c r="A182" s="0" t="s">
        <v>38</v>
      </c>
      <c r="B182" s="0" t="n">
        <v>21</v>
      </c>
      <c r="C182" s="0" t="s">
        <v>51</v>
      </c>
      <c r="D182" s="0" t="s">
        <v>50</v>
      </c>
      <c r="E182" s="13" t="n">
        <v>495663</v>
      </c>
      <c r="F182" s="13" t="n">
        <v>446406</v>
      </c>
      <c r="G182" s="13" t="n">
        <v>473785</v>
      </c>
    </row>
    <row r="183" customFormat="false" ht="15" hidden="false" customHeight="false" outlineLevel="0" collapsed="false">
      <c r="A183" s="0" t="s">
        <v>38</v>
      </c>
      <c r="B183" s="0" t="n">
        <v>21</v>
      </c>
      <c r="C183" s="0" t="s">
        <v>51</v>
      </c>
      <c r="D183" s="0" t="s">
        <v>52</v>
      </c>
      <c r="E183" s="13" t="n">
        <v>330442</v>
      </c>
      <c r="F183" s="13" t="n">
        <v>305352</v>
      </c>
      <c r="G183" s="13" t="n">
        <v>297015</v>
      </c>
    </row>
    <row r="184" customFormat="false" ht="15" hidden="false" customHeight="false" outlineLevel="0" collapsed="false">
      <c r="A184" s="0" t="s">
        <v>38</v>
      </c>
      <c r="B184" s="0" t="n">
        <v>21</v>
      </c>
      <c r="C184" s="0" t="s">
        <v>51</v>
      </c>
      <c r="D184" s="0" t="s">
        <v>53</v>
      </c>
      <c r="E184" s="13" t="n">
        <v>216852</v>
      </c>
      <c r="F184" s="13" t="n">
        <v>215691</v>
      </c>
      <c r="G184" s="13" t="n">
        <v>220626</v>
      </c>
    </row>
    <row r="185" customFormat="false" ht="15" hidden="false" customHeight="false" outlineLevel="0" collapsed="false">
      <c r="A185" s="0" t="s">
        <v>38</v>
      </c>
      <c r="B185" s="0" t="n">
        <v>21</v>
      </c>
      <c r="C185" s="0" t="s">
        <v>51</v>
      </c>
      <c r="D185" s="0" t="s">
        <v>54</v>
      </c>
      <c r="E185" s="13" t="n">
        <v>144568</v>
      </c>
      <c r="F185" s="13" t="n">
        <v>128914</v>
      </c>
      <c r="G185" s="13" t="n">
        <v>117630</v>
      </c>
    </row>
    <row r="186" customFormat="false" ht="15" hidden="false" customHeight="false" outlineLevel="0" collapsed="false">
      <c r="A186" s="0" t="s">
        <v>38</v>
      </c>
      <c r="B186" s="0" t="n">
        <v>21</v>
      </c>
      <c r="C186" s="0" t="s">
        <v>56</v>
      </c>
      <c r="D186" s="0" t="s">
        <v>55</v>
      </c>
      <c r="E186" s="13" t="n">
        <v>671210</v>
      </c>
      <c r="F186" s="13" t="n">
        <v>625978</v>
      </c>
      <c r="G186" s="13" t="n">
        <v>636326</v>
      </c>
    </row>
    <row r="187" customFormat="false" ht="15" hidden="false" customHeight="false" outlineLevel="0" collapsed="false">
      <c r="A187" s="0" t="s">
        <v>38</v>
      </c>
      <c r="B187" s="0" t="n">
        <v>21</v>
      </c>
      <c r="C187" s="0" t="s">
        <v>56</v>
      </c>
      <c r="D187" s="0" t="s">
        <v>57</v>
      </c>
      <c r="E187" s="13" t="n">
        <v>247831</v>
      </c>
      <c r="F187" s="13" t="n">
        <v>241284</v>
      </c>
      <c r="G187" s="13" t="n">
        <v>245722</v>
      </c>
    </row>
    <row r="188" customFormat="false" ht="15" hidden="false" customHeight="false" outlineLevel="0" collapsed="false">
      <c r="A188" s="0" t="s">
        <v>38</v>
      </c>
      <c r="B188" s="0" t="n">
        <v>21</v>
      </c>
      <c r="C188" s="0" t="s">
        <v>56</v>
      </c>
      <c r="D188" s="0" t="s">
        <v>58</v>
      </c>
      <c r="E188" s="13" t="n">
        <v>67121</v>
      </c>
      <c r="F188" s="13" t="n">
        <v>63475</v>
      </c>
      <c r="G188" s="13" t="n">
        <v>65638</v>
      </c>
    </row>
    <row r="189" customFormat="false" ht="15" hidden="false" customHeight="false" outlineLevel="0" collapsed="false">
      <c r="A189" s="0" t="s">
        <v>38</v>
      </c>
      <c r="B189" s="0" t="n">
        <v>21</v>
      </c>
      <c r="C189" s="0" t="s">
        <v>56</v>
      </c>
      <c r="D189" s="0" t="s">
        <v>59</v>
      </c>
      <c r="E189" s="13" t="n">
        <v>98100</v>
      </c>
      <c r="F189" s="13" t="n">
        <v>99085</v>
      </c>
      <c r="G189" s="13" t="n">
        <v>98878</v>
      </c>
    </row>
    <row r="190" customFormat="false" ht="15" hidden="false" customHeight="false" outlineLevel="0" collapsed="false">
      <c r="A190" s="0" t="s">
        <v>38</v>
      </c>
      <c r="B190" s="0" t="n">
        <v>21</v>
      </c>
      <c r="C190" s="0" t="s">
        <v>56</v>
      </c>
      <c r="D190" s="0" t="s">
        <v>60</v>
      </c>
      <c r="E190" s="13" t="n">
        <v>56795</v>
      </c>
      <c r="F190" s="13" t="n">
        <v>58222</v>
      </c>
      <c r="G190" s="13" t="n">
        <v>58796</v>
      </c>
    </row>
    <row r="191" customFormat="false" ht="15" hidden="false" customHeight="false" outlineLevel="0" collapsed="false">
      <c r="A191" s="0" t="s">
        <v>39</v>
      </c>
      <c r="B191" s="0" t="n">
        <v>22</v>
      </c>
      <c r="C191" s="0" t="s">
        <v>51</v>
      </c>
      <c r="D191" s="0" t="s">
        <v>50</v>
      </c>
      <c r="E191" s="13" t="n">
        <v>499173</v>
      </c>
      <c r="F191" s="13" t="n">
        <v>504754</v>
      </c>
      <c r="G191" s="13" t="n">
        <v>469018</v>
      </c>
    </row>
    <row r="192" customFormat="false" ht="15" hidden="false" customHeight="false" outlineLevel="0" collapsed="false">
      <c r="A192" s="0" t="s">
        <v>39</v>
      </c>
      <c r="B192" s="0" t="n">
        <v>22</v>
      </c>
      <c r="C192" s="0" t="s">
        <v>51</v>
      </c>
      <c r="D192" s="0" t="s">
        <v>52</v>
      </c>
      <c r="E192" s="13" t="n">
        <v>332782</v>
      </c>
      <c r="F192" s="13" t="n">
        <v>338295</v>
      </c>
      <c r="G192" s="13" t="n">
        <v>335364</v>
      </c>
    </row>
    <row r="193" customFormat="false" ht="15" hidden="false" customHeight="false" outlineLevel="0" collapsed="false">
      <c r="A193" s="0" t="s">
        <v>39</v>
      </c>
      <c r="B193" s="0" t="n">
        <v>22</v>
      </c>
      <c r="C193" s="0" t="s">
        <v>51</v>
      </c>
      <c r="D193" s="0" t="s">
        <v>53</v>
      </c>
      <c r="E193" s="13" t="n">
        <v>218388</v>
      </c>
      <c r="F193" s="13" t="n">
        <v>224544</v>
      </c>
      <c r="G193" s="13" t="n">
        <v>226641</v>
      </c>
    </row>
    <row r="194" customFormat="false" ht="15" hidden="false" customHeight="false" outlineLevel="0" collapsed="false">
      <c r="A194" s="0" t="s">
        <v>39</v>
      </c>
      <c r="B194" s="0" t="n">
        <v>22</v>
      </c>
      <c r="C194" s="0" t="s">
        <v>51</v>
      </c>
      <c r="D194" s="0" t="s">
        <v>54</v>
      </c>
      <c r="E194" s="13" t="n">
        <v>145592</v>
      </c>
      <c r="F194" s="13" t="n">
        <v>141126</v>
      </c>
      <c r="G194" s="13" t="n">
        <v>143876</v>
      </c>
    </row>
    <row r="195" customFormat="false" ht="15" hidden="false" customHeight="false" outlineLevel="0" collapsed="false">
      <c r="A195" s="0" t="s">
        <v>39</v>
      </c>
      <c r="B195" s="0" t="n">
        <v>22</v>
      </c>
      <c r="C195" s="0" t="s">
        <v>56</v>
      </c>
      <c r="D195" s="0" t="s">
        <v>55</v>
      </c>
      <c r="E195" s="13" t="n">
        <v>675963</v>
      </c>
      <c r="F195" s="13" t="n">
        <v>737602</v>
      </c>
      <c r="G195" s="13" t="n">
        <v>753624</v>
      </c>
    </row>
    <row r="196" customFormat="false" ht="15" hidden="false" customHeight="false" outlineLevel="0" collapsed="false">
      <c r="A196" s="0" t="s">
        <v>39</v>
      </c>
      <c r="B196" s="0" t="n">
        <v>22</v>
      </c>
      <c r="C196" s="0" t="s">
        <v>56</v>
      </c>
      <c r="D196" s="0" t="s">
        <v>57</v>
      </c>
      <c r="E196" s="13" t="n">
        <v>249586</v>
      </c>
      <c r="F196" s="13" t="n">
        <v>250267</v>
      </c>
      <c r="G196" s="13" t="n">
        <v>251762</v>
      </c>
    </row>
    <row r="197" customFormat="false" ht="15" hidden="false" customHeight="false" outlineLevel="0" collapsed="false">
      <c r="A197" s="0" t="s">
        <v>39</v>
      </c>
      <c r="B197" s="0" t="n">
        <v>22</v>
      </c>
      <c r="C197" s="0" t="s">
        <v>56</v>
      </c>
      <c r="D197" s="0" t="s">
        <v>58</v>
      </c>
      <c r="E197" s="13" t="n">
        <v>67596</v>
      </c>
      <c r="F197" s="13" t="n">
        <v>71850</v>
      </c>
      <c r="G197" s="13" t="n">
        <v>69980</v>
      </c>
    </row>
    <row r="198" customFormat="false" ht="15" hidden="false" customHeight="false" outlineLevel="0" collapsed="false">
      <c r="A198" s="0" t="s">
        <v>39</v>
      </c>
      <c r="B198" s="0" t="n">
        <v>22</v>
      </c>
      <c r="C198" s="0" t="s">
        <v>56</v>
      </c>
      <c r="D198" s="0" t="s">
        <v>59</v>
      </c>
      <c r="E198" s="13" t="n">
        <v>98795</v>
      </c>
      <c r="F198" s="13" t="n">
        <v>99014</v>
      </c>
      <c r="G198" s="13" t="n">
        <v>97649</v>
      </c>
    </row>
    <row r="199" customFormat="false" ht="15" hidden="false" customHeight="false" outlineLevel="0" collapsed="false">
      <c r="A199" s="0" t="s">
        <v>39</v>
      </c>
      <c r="B199" s="0" t="n">
        <v>22</v>
      </c>
      <c r="C199" s="0" t="s">
        <v>56</v>
      </c>
      <c r="D199" s="0" t="s">
        <v>60</v>
      </c>
      <c r="E199" s="13" t="n">
        <v>57197</v>
      </c>
      <c r="F199" s="13" t="n">
        <v>52249</v>
      </c>
      <c r="G199" s="13" t="n">
        <v>53875</v>
      </c>
    </row>
    <row r="200" customFormat="false" ht="15" hidden="false" customHeight="false" outlineLevel="0" collapsed="false">
      <c r="A200" s="0" t="s">
        <v>40</v>
      </c>
      <c r="B200" s="0" t="n">
        <v>23</v>
      </c>
      <c r="C200" s="0" t="s">
        <v>51</v>
      </c>
      <c r="D200" s="0" t="s">
        <v>50</v>
      </c>
      <c r="E200" s="13" t="n">
        <v>513819</v>
      </c>
      <c r="F200" s="13" t="n">
        <v>547636</v>
      </c>
      <c r="G200" s="13" t="n">
        <v>540745</v>
      </c>
    </row>
    <row r="201" customFormat="false" ht="15" hidden="false" customHeight="false" outlineLevel="0" collapsed="false">
      <c r="A201" s="0" t="s">
        <v>40</v>
      </c>
      <c r="B201" s="0" t="n">
        <v>23</v>
      </c>
      <c r="C201" s="0" t="s">
        <v>51</v>
      </c>
      <c r="D201" s="0" t="s">
        <v>52</v>
      </c>
      <c r="E201" s="13" t="n">
        <v>342546</v>
      </c>
      <c r="F201" s="13" t="n">
        <v>339585</v>
      </c>
      <c r="G201" s="13" t="n">
        <v>349415</v>
      </c>
    </row>
    <row r="202" customFormat="false" ht="15" hidden="false" customHeight="false" outlineLevel="0" collapsed="false">
      <c r="A202" s="0" t="s">
        <v>40</v>
      </c>
      <c r="B202" s="0" t="n">
        <v>23</v>
      </c>
      <c r="C202" s="0" t="s">
        <v>51</v>
      </c>
      <c r="D202" s="0" t="s">
        <v>53</v>
      </c>
      <c r="E202" s="13" t="n">
        <v>224796</v>
      </c>
      <c r="F202" s="13" t="n">
        <v>253136</v>
      </c>
      <c r="G202" s="13" t="n">
        <v>252726</v>
      </c>
    </row>
    <row r="203" customFormat="false" ht="15" hidden="false" customHeight="false" outlineLevel="0" collapsed="false">
      <c r="A203" s="0" t="s">
        <v>40</v>
      </c>
      <c r="B203" s="0" t="n">
        <v>23</v>
      </c>
      <c r="C203" s="0" t="s">
        <v>51</v>
      </c>
      <c r="D203" s="0" t="s">
        <v>54</v>
      </c>
      <c r="E203" s="13" t="n">
        <v>149864</v>
      </c>
      <c r="F203" s="13" t="n">
        <v>170685</v>
      </c>
      <c r="G203" s="13" t="n">
        <v>181613</v>
      </c>
    </row>
    <row r="204" customFormat="false" ht="15" hidden="false" customHeight="false" outlineLevel="0" collapsed="false">
      <c r="A204" s="0" t="s">
        <v>40</v>
      </c>
      <c r="B204" s="0" t="n">
        <v>23</v>
      </c>
      <c r="C204" s="0" t="s">
        <v>56</v>
      </c>
      <c r="D204" s="0" t="s">
        <v>55</v>
      </c>
      <c r="E204" s="13" t="n">
        <v>695797</v>
      </c>
      <c r="F204" s="13" t="n">
        <v>620649</v>
      </c>
      <c r="G204" s="13" t="n">
        <v>619124</v>
      </c>
    </row>
    <row r="205" customFormat="false" ht="15" hidden="false" customHeight="false" outlineLevel="0" collapsed="false">
      <c r="A205" s="0" t="s">
        <v>40</v>
      </c>
      <c r="B205" s="0" t="n">
        <v>23</v>
      </c>
      <c r="C205" s="0" t="s">
        <v>56</v>
      </c>
      <c r="D205" s="0" t="s">
        <v>57</v>
      </c>
      <c r="E205" s="13" t="n">
        <v>256910</v>
      </c>
      <c r="F205" s="13" t="n">
        <v>265382</v>
      </c>
      <c r="G205" s="13" t="n">
        <v>263264</v>
      </c>
    </row>
    <row r="206" customFormat="false" ht="15" hidden="false" customHeight="false" outlineLevel="0" collapsed="false">
      <c r="A206" s="0" t="s">
        <v>40</v>
      </c>
      <c r="B206" s="0" t="n">
        <v>23</v>
      </c>
      <c r="C206" s="0" t="s">
        <v>56</v>
      </c>
      <c r="D206" s="0" t="s">
        <v>58</v>
      </c>
      <c r="E206" s="13" t="n">
        <v>69580</v>
      </c>
      <c r="F206" s="13" t="n">
        <v>74169</v>
      </c>
      <c r="G206" s="13" t="n">
        <v>75385</v>
      </c>
    </row>
    <row r="207" customFormat="false" ht="15" hidden="false" customHeight="false" outlineLevel="0" collapsed="false">
      <c r="A207" s="0" t="s">
        <v>40</v>
      </c>
      <c r="B207" s="0" t="n">
        <v>23</v>
      </c>
      <c r="C207" s="0" t="s">
        <v>56</v>
      </c>
      <c r="D207" s="0" t="s">
        <v>59</v>
      </c>
      <c r="E207" s="13" t="n">
        <v>101693</v>
      </c>
      <c r="F207" s="13" t="n">
        <v>105234</v>
      </c>
      <c r="G207" s="13" t="n">
        <v>104492</v>
      </c>
    </row>
    <row r="208" customFormat="false" ht="15" hidden="false" customHeight="false" outlineLevel="0" collapsed="false">
      <c r="A208" s="0" t="s">
        <v>40</v>
      </c>
      <c r="B208" s="0" t="n">
        <v>23</v>
      </c>
      <c r="C208" s="0" t="s">
        <v>56</v>
      </c>
      <c r="D208" s="0" t="s">
        <v>60</v>
      </c>
      <c r="E208" s="13" t="n">
        <v>58875</v>
      </c>
      <c r="F208" s="13" t="n">
        <v>52827</v>
      </c>
      <c r="G208" s="13" t="n">
        <v>53669</v>
      </c>
    </row>
    <row r="209" customFormat="false" ht="15" hidden="false" customHeight="false" outlineLevel="0" collapsed="false">
      <c r="A209" s="0" t="s">
        <v>41</v>
      </c>
      <c r="B209" s="0" t="n">
        <v>24</v>
      </c>
      <c r="C209" s="0" t="s">
        <v>51</v>
      </c>
      <c r="D209" s="0" t="s">
        <v>50</v>
      </c>
      <c r="E209" s="13" t="n">
        <v>536550</v>
      </c>
      <c r="F209" s="13" t="n">
        <v>497957</v>
      </c>
      <c r="G209" s="13" t="n">
        <v>516840</v>
      </c>
    </row>
    <row r="210" customFormat="false" ht="15" hidden="false" customHeight="false" outlineLevel="0" collapsed="false">
      <c r="A210" s="0" t="s">
        <v>41</v>
      </c>
      <c r="B210" s="0" t="n">
        <v>24</v>
      </c>
      <c r="C210" s="0" t="s">
        <v>51</v>
      </c>
      <c r="D210" s="0" t="s">
        <v>52</v>
      </c>
      <c r="E210" s="13" t="n">
        <v>357700</v>
      </c>
      <c r="F210" s="13" t="n">
        <v>364214</v>
      </c>
      <c r="G210" s="13" t="n">
        <v>411797</v>
      </c>
    </row>
    <row r="211" customFormat="false" ht="15" hidden="false" customHeight="false" outlineLevel="0" collapsed="false">
      <c r="A211" s="0" t="s">
        <v>41</v>
      </c>
      <c r="B211" s="0" t="n">
        <v>24</v>
      </c>
      <c r="C211" s="0" t="s">
        <v>51</v>
      </c>
      <c r="D211" s="0" t="s">
        <v>53</v>
      </c>
      <c r="E211" s="13" t="n">
        <v>234741</v>
      </c>
      <c r="F211" s="13" t="n">
        <v>241442</v>
      </c>
      <c r="G211" s="13" t="n">
        <v>222376</v>
      </c>
    </row>
    <row r="212" customFormat="false" ht="15" hidden="false" customHeight="false" outlineLevel="0" collapsed="false">
      <c r="A212" s="0" t="s">
        <v>41</v>
      </c>
      <c r="B212" s="0" t="n">
        <v>24</v>
      </c>
      <c r="C212" s="0" t="s">
        <v>51</v>
      </c>
      <c r="D212" s="0" t="s">
        <v>54</v>
      </c>
      <c r="E212" s="13" t="n">
        <v>156494</v>
      </c>
      <c r="F212" s="13" t="n">
        <v>181539</v>
      </c>
      <c r="G212" s="13" t="n">
        <v>186035</v>
      </c>
    </row>
    <row r="213" customFormat="false" ht="15" hidden="false" customHeight="false" outlineLevel="0" collapsed="false">
      <c r="A213" s="0" t="s">
        <v>41</v>
      </c>
      <c r="B213" s="0" t="n">
        <v>24</v>
      </c>
      <c r="C213" s="0" t="s">
        <v>56</v>
      </c>
      <c r="D213" s="0" t="s">
        <v>55</v>
      </c>
      <c r="E213" s="13" t="n">
        <v>726578</v>
      </c>
      <c r="F213" s="13" t="n">
        <v>779851</v>
      </c>
      <c r="G213" s="13" t="n">
        <v>825405</v>
      </c>
    </row>
    <row r="214" customFormat="false" ht="15" hidden="false" customHeight="false" outlineLevel="0" collapsed="false">
      <c r="A214" s="0" t="s">
        <v>41</v>
      </c>
      <c r="B214" s="0" t="n">
        <v>24</v>
      </c>
      <c r="C214" s="0" t="s">
        <v>56</v>
      </c>
      <c r="D214" s="0" t="s">
        <v>57</v>
      </c>
      <c r="E214" s="13" t="n">
        <v>268275</v>
      </c>
      <c r="F214" s="13" t="n">
        <v>254207</v>
      </c>
      <c r="G214" s="13" t="n">
        <v>244535</v>
      </c>
    </row>
    <row r="215" customFormat="false" ht="15" hidden="false" customHeight="false" outlineLevel="0" collapsed="false">
      <c r="A215" s="0" t="s">
        <v>41</v>
      </c>
      <c r="B215" s="0" t="n">
        <v>24</v>
      </c>
      <c r="C215" s="0" t="s">
        <v>56</v>
      </c>
      <c r="D215" s="0" t="s">
        <v>58</v>
      </c>
      <c r="E215" s="13" t="n">
        <v>72658</v>
      </c>
      <c r="F215" s="13" t="n">
        <v>76391</v>
      </c>
      <c r="G215" s="13" t="n">
        <v>73298</v>
      </c>
    </row>
    <row r="216" customFormat="false" ht="15" hidden="false" customHeight="false" outlineLevel="0" collapsed="false">
      <c r="A216" s="0" t="s">
        <v>41</v>
      </c>
      <c r="B216" s="0" t="n">
        <v>24</v>
      </c>
      <c r="C216" s="0" t="s">
        <v>56</v>
      </c>
      <c r="D216" s="0" t="s">
        <v>59</v>
      </c>
      <c r="E216" s="13" t="n">
        <v>106192</v>
      </c>
      <c r="F216" s="13" t="n">
        <v>94868</v>
      </c>
      <c r="G216" s="13" t="n">
        <v>92430</v>
      </c>
    </row>
    <row r="217" customFormat="false" ht="15" hidden="false" customHeight="false" outlineLevel="0" collapsed="false">
      <c r="A217" s="0" t="s">
        <v>41</v>
      </c>
      <c r="B217" s="0" t="n">
        <v>24</v>
      </c>
      <c r="C217" s="0" t="s">
        <v>56</v>
      </c>
      <c r="D217" s="0" t="s">
        <v>60</v>
      </c>
      <c r="E217" s="13" t="n">
        <v>61480</v>
      </c>
      <c r="F217" s="13" t="n">
        <v>60838</v>
      </c>
      <c r="G217" s="13" t="n">
        <v>62486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2026-07-04T18:02:28Z</dcterms:created>
  <dc:creator>openpyxl</dc:creator>
  <dc:description/>
  <dc:language>en-US</dc:language>
  <cp:lastModifiedBy/>
  <dcterms:modified xsi:type="dcterms:W3CDTF">2026-07-04T18:02:39Z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