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rajnandanbasu/Downloads/"/>
    </mc:Choice>
  </mc:AlternateContent>
  <xr:revisionPtr revIDLastSave="0" documentId="8_{5DB813B8-E586-CF42-B017-DDE93BA9D303}" xr6:coauthVersionLast="47" xr6:coauthVersionMax="47" xr10:uidLastSave="{00000000-0000-0000-0000-000000000000}"/>
  <bookViews>
    <workbookView xWindow="0" yWindow="600" windowWidth="28800" windowHeight="16440" tabRatio="500" activeTab="5" xr2:uid="{00000000-000D-0000-FFFF-FFFF00000000}"/>
  </bookViews>
  <sheets>
    <sheet name="Assumptions" sheetId="1" r:id="rId1"/>
    <sheet name="Income Statement" sheetId="2" r:id="rId2"/>
    <sheet name="Balance Sheet" sheetId="3" r:id="rId3"/>
    <sheet name="Cash Flow" sheetId="4" r:id="rId4"/>
    <sheet name="Scenario Planning" sheetId="5" r:id="rId5"/>
    <sheet name="Revenue Forecast" sheetId="6" r:id="rId6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6" l="1"/>
  <c r="C9" i="6"/>
  <c r="D8" i="6"/>
  <c r="C8" i="6"/>
  <c r="D7" i="6"/>
  <c r="C7" i="6"/>
  <c r="B6" i="6"/>
  <c r="B5" i="6"/>
  <c r="D15" i="5"/>
  <c r="D16" i="5" s="1"/>
  <c r="D14" i="5"/>
  <c r="C14" i="5"/>
  <c r="C15" i="5" s="1"/>
  <c r="C16" i="5" s="1"/>
  <c r="B14" i="5"/>
  <c r="B15" i="5" s="1"/>
  <c r="B16" i="5" s="1"/>
  <c r="F19" i="4"/>
  <c r="E19" i="4"/>
  <c r="D19" i="4"/>
  <c r="C19" i="4"/>
  <c r="B19" i="4"/>
  <c r="C14" i="4"/>
  <c r="C11" i="3" s="1"/>
  <c r="B14" i="4"/>
  <c r="B15" i="4" s="1"/>
  <c r="B7" i="4"/>
  <c r="C18" i="3"/>
  <c r="D18" i="3" s="1"/>
  <c r="C17" i="3"/>
  <c r="C10" i="4" s="1"/>
  <c r="B13" i="3"/>
  <c r="D7" i="3"/>
  <c r="D8" i="4" s="1"/>
  <c r="C7" i="3"/>
  <c r="C8" i="4" s="1"/>
  <c r="B7" i="3"/>
  <c r="C14" i="2"/>
  <c r="B14" i="2"/>
  <c r="B11" i="2"/>
  <c r="C10" i="2"/>
  <c r="B10" i="2"/>
  <c r="C7" i="2"/>
  <c r="C8" i="2" s="1"/>
  <c r="B7" i="2"/>
  <c r="B8" i="2" s="1"/>
  <c r="C6" i="2"/>
  <c r="C8" i="3" s="1"/>
  <c r="B6" i="2"/>
  <c r="B17" i="3" s="1"/>
  <c r="B19" i="3" s="1"/>
  <c r="D5" i="2"/>
  <c r="B7" i="6" s="1"/>
  <c r="D14" i="2" l="1"/>
  <c r="E18" i="3"/>
  <c r="B18" i="5"/>
  <c r="B17" i="5"/>
  <c r="C17" i="5"/>
  <c r="C18" i="5"/>
  <c r="C19" i="5" s="1"/>
  <c r="C9" i="4"/>
  <c r="C11" i="2"/>
  <c r="D17" i="5"/>
  <c r="D18" i="5"/>
  <c r="E5" i="2"/>
  <c r="C19" i="3"/>
  <c r="D10" i="2"/>
  <c r="D6" i="2"/>
  <c r="C15" i="4"/>
  <c r="D7" i="2"/>
  <c r="D14" i="4"/>
  <c r="D15" i="4" s="1"/>
  <c r="B8" i="3"/>
  <c r="B9" i="3" s="1"/>
  <c r="B14" i="3" s="1"/>
  <c r="B12" i="2"/>
  <c r="B15" i="2" s="1"/>
  <c r="C12" i="2"/>
  <c r="C15" i="2" s="1"/>
  <c r="C16" i="2" l="1"/>
  <c r="C17" i="2"/>
  <c r="B16" i="2"/>
  <c r="B17" i="2"/>
  <c r="F5" i="2"/>
  <c r="E6" i="2"/>
  <c r="E10" i="2"/>
  <c r="E14" i="4"/>
  <c r="E15" i="4" s="1"/>
  <c r="E7" i="2"/>
  <c r="B8" i="6"/>
  <c r="E7" i="3"/>
  <c r="E8" i="4" s="1"/>
  <c r="B22" i="3"/>
  <c r="D19" i="5"/>
  <c r="D8" i="2"/>
  <c r="C7" i="4"/>
  <c r="C12" i="3"/>
  <c r="B19" i="5"/>
  <c r="D11" i="3"/>
  <c r="F18" i="3"/>
  <c r="F14" i="2" s="1"/>
  <c r="E14" i="2"/>
  <c r="D8" i="3"/>
  <c r="D9" i="4" s="1"/>
  <c r="D17" i="3"/>
  <c r="E11" i="3" l="1"/>
  <c r="D11" i="2"/>
  <c r="B23" i="3"/>
  <c r="B24" i="3" s="1"/>
  <c r="B26" i="3" s="1"/>
  <c r="C22" i="3"/>
  <c r="D22" i="3" s="1"/>
  <c r="E22" i="3" s="1"/>
  <c r="F22" i="3" s="1"/>
  <c r="B6" i="4"/>
  <c r="B11" i="4" s="1"/>
  <c r="B18" i="2"/>
  <c r="C13" i="3"/>
  <c r="E8" i="2"/>
  <c r="C6" i="4"/>
  <c r="C11" i="4" s="1"/>
  <c r="C21" i="4" s="1"/>
  <c r="C6" i="3" s="1"/>
  <c r="C18" i="2"/>
  <c r="C21" i="3"/>
  <c r="D19" i="3"/>
  <c r="D10" i="4"/>
  <c r="E17" i="3"/>
  <c r="E8" i="3"/>
  <c r="E9" i="4" s="1"/>
  <c r="F6" i="2"/>
  <c r="B9" i="6"/>
  <c r="F14" i="4"/>
  <c r="F15" i="4" s="1"/>
  <c r="F7" i="3"/>
  <c r="F8" i="4" s="1"/>
  <c r="F10" i="2"/>
  <c r="C9" i="3" l="1"/>
  <c r="C14" i="3" s="1"/>
  <c r="C26" i="3" s="1"/>
  <c r="F8" i="3"/>
  <c r="F9" i="4" s="1"/>
  <c r="F17" i="3"/>
  <c r="D7" i="4"/>
  <c r="D12" i="2"/>
  <c r="D15" i="2" s="1"/>
  <c r="E11" i="2"/>
  <c r="F11" i="3"/>
  <c r="E19" i="3"/>
  <c r="E10" i="4"/>
  <c r="D12" i="3"/>
  <c r="F7" i="2"/>
  <c r="C23" i="3"/>
  <c r="C24" i="3" s="1"/>
  <c r="E12" i="3" l="1"/>
  <c r="D13" i="3"/>
  <c r="F19" i="3"/>
  <c r="F10" i="4"/>
  <c r="F11" i="2"/>
  <c r="F7" i="4" s="1"/>
  <c r="E7" i="4"/>
  <c r="E12" i="2"/>
  <c r="E15" i="2" s="1"/>
  <c r="F8" i="2"/>
  <c r="D16" i="2"/>
  <c r="D17" i="2"/>
  <c r="D6" i="4" l="1"/>
  <c r="D11" i="4" s="1"/>
  <c r="D21" i="4" s="1"/>
  <c r="D6" i="3" s="1"/>
  <c r="D18" i="2"/>
  <c r="D21" i="3"/>
  <c r="F12" i="2"/>
  <c r="F15" i="2" s="1"/>
  <c r="E16" i="2"/>
  <c r="E17" i="2" s="1"/>
  <c r="F12" i="3"/>
  <c r="F13" i="3" s="1"/>
  <c r="E13" i="3"/>
  <c r="E18" i="2" l="1"/>
  <c r="E6" i="4"/>
  <c r="E11" i="4" s="1"/>
  <c r="E21" i="4" s="1"/>
  <c r="E21" i="3"/>
  <c r="D23" i="3"/>
  <c r="D24" i="3" s="1"/>
  <c r="F16" i="2"/>
  <c r="F17" i="2"/>
  <c r="E6" i="3"/>
  <c r="D9" i="3"/>
  <c r="D14" i="3" s="1"/>
  <c r="D26" i="3" s="1"/>
  <c r="E9" i="3" l="1"/>
  <c r="E14" i="3" s="1"/>
  <c r="F6" i="4"/>
  <c r="F11" i="4" s="1"/>
  <c r="F21" i="4" s="1"/>
  <c r="F6" i="3" s="1"/>
  <c r="F9" i="3" s="1"/>
  <c r="F14" i="3" s="1"/>
  <c r="F26" i="3" s="1"/>
  <c r="F18" i="2"/>
  <c r="E23" i="3"/>
  <c r="E24" i="3" s="1"/>
  <c r="F21" i="3"/>
  <c r="F23" i="3" s="1"/>
  <c r="F24" i="3" s="1"/>
  <c r="E26" i="3" l="1"/>
</calcChain>
</file>

<file path=xl/sharedStrings.xml><?xml version="1.0" encoding="utf-8"?>
<sst xmlns="http://schemas.openxmlformats.org/spreadsheetml/2006/main" count="120" uniqueCount="89">
  <si>
    <t>FP&amp;A Financial Forecasting Model — Base Case Assumptions</t>
  </si>
  <si>
    <t>UK FMCG Cash-and-Carry Distribution Business (illustrative, modeled on Dhamecha Group cost structure)</t>
  </si>
  <si>
    <t>Assumption</t>
  </si>
  <si>
    <t>FY2024A</t>
  </si>
  <si>
    <t>FY2025A</t>
  </si>
  <si>
    <t>FY2026E</t>
  </si>
  <si>
    <t>FY2027E</t>
  </si>
  <si>
    <t>FY2028E</t>
  </si>
  <si>
    <t>Revenue growth rate (%)</t>
  </si>
  <si>
    <t>n/a</t>
  </si>
  <si>
    <t>Cost of sales (% of revenue)</t>
  </si>
  <si>
    <t>SG&amp;A (% of revenue)</t>
  </si>
  <si>
    <t>Tax rate (%)</t>
  </si>
  <si>
    <t>Days Sales Outstanding (AR)</t>
  </si>
  <si>
    <t>Days Payable Outstanding (AP)</t>
  </si>
  <si>
    <t>Days Inventory (Stock)</t>
  </si>
  <si>
    <t>Capex (% of revenue)</t>
  </si>
  <si>
    <t>Depreciation rate (% of opening PP&amp;E)</t>
  </si>
  <si>
    <t>Interest rate on debt (%)</t>
  </si>
  <si>
    <t>Note: Blue = hardcoded assumption inputs. This Base Case feeds the linked 3-statement model below.</t>
  </si>
  <si>
    <t>Income Statement (Base Case)</t>
  </si>
  <si>
    <t>(£ in thousands)</t>
  </si>
  <si>
    <t>Line Item</t>
  </si>
  <si>
    <t>Revenue</t>
  </si>
  <si>
    <t xml:space="preserve">    Cost of Sales</t>
  </si>
  <si>
    <t>Gross Profit</t>
  </si>
  <si>
    <t xml:space="preserve">    Gross Margin %</t>
  </si>
  <si>
    <t xml:space="preserve">    SG&amp;A</t>
  </si>
  <si>
    <t xml:space="preserve">    Depreciation &amp; Amortization</t>
  </si>
  <si>
    <t>EBIT (Operating Income)</t>
  </si>
  <si>
    <t xml:space="preserve">    Interest Expense</t>
  </si>
  <si>
    <t>Earnings Before Tax</t>
  </si>
  <si>
    <t xml:space="preserve">    Income Tax Expense</t>
  </si>
  <si>
    <t>Net Income</t>
  </si>
  <si>
    <t xml:space="preserve">    Net Margin %</t>
  </si>
  <si>
    <t>Balance Sheet (Base Case)</t>
  </si>
  <si>
    <t>ASSETS</t>
  </si>
  <si>
    <t xml:space="preserve">    Cash &amp; Equivalents</t>
  </si>
  <si>
    <t xml:space="preserve">    Accounts Receivable</t>
  </si>
  <si>
    <t xml:space="preserve">    Inventory (Stock)</t>
  </si>
  <si>
    <t>Total Current Assets</t>
  </si>
  <si>
    <t xml:space="preserve">    PP&amp;E, Gross</t>
  </si>
  <si>
    <t xml:space="preserve">    Accumulated Depreciation</t>
  </si>
  <si>
    <t>PP&amp;E, Net</t>
  </si>
  <si>
    <t>TOTAL ASSETS</t>
  </si>
  <si>
    <t>LIABILITIES &amp; EQUITY</t>
  </si>
  <si>
    <t xml:space="preserve">    Accounts Payable</t>
  </si>
  <si>
    <t xml:space="preserve">    Short-Term Debt / Revolver</t>
  </si>
  <si>
    <t>Total Current Liabilities</t>
  </si>
  <si>
    <t xml:space="preserve">    Retained Earnings</t>
  </si>
  <si>
    <t xml:space="preserve">    Common Stock &amp; Paid-in Capital</t>
  </si>
  <si>
    <t>Total Equity</t>
  </si>
  <si>
    <t>TOTAL LIABILITIES &amp; EQUITY</t>
  </si>
  <si>
    <t xml:space="preserve">    Balance Check (should be 0)</t>
  </si>
  <si>
    <t>Cash Flow Statement (Base Case)</t>
  </si>
  <si>
    <t>Operating Activities</t>
  </si>
  <si>
    <t xml:space="preserve">    Net Income</t>
  </si>
  <si>
    <t xml:space="preserve">    (+) Depreciation &amp; Amortization</t>
  </si>
  <si>
    <t xml:space="preserve">    (-) Increase in Accounts Receivable</t>
  </si>
  <si>
    <t xml:space="preserve">    (-) Increase in Inventory</t>
  </si>
  <si>
    <t xml:space="preserve">    (+) Increase in Accounts Payable</t>
  </si>
  <si>
    <t>Cash Flow from Operations</t>
  </si>
  <si>
    <t>Investing Activities</t>
  </si>
  <si>
    <t xml:space="preserve">    (-) Capital Expenditures</t>
  </si>
  <si>
    <t>Cash Flow from Investing</t>
  </si>
  <si>
    <t>Financing Activities</t>
  </si>
  <si>
    <t xml:space="preserve">    (+/-) Net Debt Draw / (Repayment)</t>
  </si>
  <si>
    <t>Cash Flow from Financing</t>
  </si>
  <si>
    <t>Net Change in Cash</t>
  </si>
  <si>
    <t>Scenario Planning — Best / Base / Worst Case</t>
  </si>
  <si>
    <t>Sensitizing revenue growth and margin assumptions against the Base Case (FY2026E–FY2028E)</t>
  </si>
  <si>
    <t>Scenario Assumptions</t>
  </si>
  <si>
    <t>Worst Case</t>
  </si>
  <si>
    <t>Base Case</t>
  </si>
  <si>
    <t>Best Case</t>
  </si>
  <si>
    <t>Avg. annual revenue growth (FY26–FY28)</t>
  </si>
  <si>
    <t>Cost of sales (% of revenue, avg.)</t>
  </si>
  <si>
    <t>SG&amp;A (% of revenue, avg.)</t>
  </si>
  <si>
    <t>Note: Worst/Best cases flex growth ±6pp and margins ±3pp vs Base Case; Base Case values match the linked 3-statement model.</t>
  </si>
  <si>
    <t>Projected Outputs (FY2028E, cumulative 3-year growth applied to FY2025A base)</t>
  </si>
  <si>
    <t>FY2028E Revenue</t>
  </si>
  <si>
    <t>FY2028E Gross Profit</t>
  </si>
  <si>
    <t>FY2028E EBIT (approx.)</t>
  </si>
  <si>
    <t>Implied EBIT Margin %</t>
  </si>
  <si>
    <t>FY2028E Net Income (approx., 25% tax)</t>
  </si>
  <si>
    <t>Net Income vs. Base Case</t>
  </si>
  <si>
    <t>Revenue Forecast — Historical + Scenario Projections</t>
  </si>
  <si>
    <t>Year</t>
  </si>
  <si>
    <t>Actual/Base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</si>
</sst>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;\(0.0%\);\-"/>
    <numFmt numFmtId="165" formatCode="\£#,##0;&quot;(£&quot;#,##0\);\-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color rgb="FF008000"/>
      <name val="Arial"/>
      <family val="2"/>
    </font>
    <font>
      <i/>
      <sz val="9"/>
      <color rgb="FFCC0000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C6EFCE"/>
        <bgColor rgb="FFD9E1F2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4" fillId="0" borderId="0" xfId="0" applyFont="1"/>
    <xf numFmtId="164" fontId="5" fillId="0" borderId="0" xfId="0" applyNumberFormat="1" applyFont="1"/>
    <xf numFmtId="1" fontId="5" fillId="0" borderId="0" xfId="0" applyNumberFormat="1" applyFont="1"/>
    <xf numFmtId="0" fontId="6" fillId="0" borderId="0" xfId="0" applyFont="1"/>
    <xf numFmtId="165" fontId="5" fillId="0" borderId="0" xfId="0" applyNumberFormat="1" applyFont="1"/>
    <xf numFmtId="165" fontId="4" fillId="0" borderId="0" xfId="0" applyNumberFormat="1" applyFont="1"/>
    <xf numFmtId="165" fontId="6" fillId="0" borderId="1" xfId="0" applyNumberFormat="1" applyFont="1" applyBorder="1"/>
    <xf numFmtId="164" fontId="2" fillId="0" borderId="0" xfId="0" applyNumberFormat="1" applyFont="1"/>
    <xf numFmtId="165" fontId="7" fillId="0" borderId="0" xfId="0" applyNumberFormat="1" applyFont="1"/>
    <xf numFmtId="165" fontId="6" fillId="0" borderId="0" xfId="0" applyNumberFormat="1" applyFont="1"/>
    <xf numFmtId="165" fontId="6" fillId="3" borderId="1" xfId="0" applyNumberFormat="1" applyFont="1" applyFill="1" applyBorder="1"/>
    <xf numFmtId="165" fontId="3" fillId="2" borderId="0" xfId="0" applyNumberFormat="1" applyFont="1" applyFill="1"/>
    <xf numFmtId="165" fontId="8" fillId="0" borderId="0" xfId="0" applyNumberFormat="1" applyFont="1"/>
    <xf numFmtId="165" fontId="4" fillId="3" borderId="1" xfId="0" applyNumberFormat="1" applyFont="1" applyFill="1" applyBorder="1"/>
    <xf numFmtId="0" fontId="9" fillId="4" borderId="0" xfId="0" applyFont="1" applyFill="1"/>
    <xf numFmtId="0" fontId="9" fillId="5" borderId="0" xfId="0" applyFont="1" applyFill="1"/>
    <xf numFmtId="0" fontId="6" fillId="4" borderId="0" xfId="0" applyFont="1" applyFill="1"/>
    <xf numFmtId="0" fontId="6" fillId="6" borderId="0" xfId="0" applyFont="1" applyFill="1"/>
    <xf numFmtId="0" fontId="6" fillId="5" borderId="0" xfId="0" applyFont="1" applyFill="1"/>
    <xf numFmtId="165" fontId="0" fillId="0" borderId="0" xfId="0" applyNumberForma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4F81BD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BBB59"/>
      <rgbColor rgb="FFFFCC00"/>
      <rgbColor rgb="FFFF9900"/>
      <rgbColor rgb="FFFF6600"/>
      <rgbColor rgb="FF666666"/>
      <rgbColor rgb="FFB3B3B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FY2028E Net Income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761329178441012"/>
          <c:y val="0.20761193407921325"/>
          <c:w val="0.69296248983857855"/>
          <c:h val="0.703960316964254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'Scenario Planning'!$B$13</c:f>
              <c:strCache>
                <c:ptCount val="1"/>
                <c:pt idx="0">
                  <c:v>Worst Case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'Scenario Planning'!$B$14:$B$18</c:f>
              <c:numCache>
                <c:formatCode>\£#,##0;"(£"#,##0\);\-</c:formatCode>
                <c:ptCount val="5"/>
                <c:pt idx="0">
                  <c:v>13636.522799999999</c:v>
                </c:pt>
                <c:pt idx="1">
                  <c:v>5045.5134359999993</c:v>
                </c:pt>
                <c:pt idx="2">
                  <c:v>2795.4871739999994</c:v>
                </c:pt>
                <c:pt idx="3" formatCode="0.0%;\(0.0%\);\-">
                  <c:v>0.20499999999999999</c:v>
                </c:pt>
                <c:pt idx="4">
                  <c:v>2096.6153804999994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3-194E-9A72-A0E17EF3BC81}"/>
            </c:ext>
          </c:extLst>
        </c:ser>
        <c:ser>
          <c:idx val="1"/>
          <c:order val="1"/>
          <c:tx>
            <c:strRef>
              <c:f>'Scenario Planning'!$C$13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'Scenario Planning'!$C$14:$C$18</c:f>
              <c:numCache>
                <c:formatCode>\£#,##0;"(£"#,##0\);\-</c:formatCode>
                <c:ptCount val="5"/>
                <c:pt idx="0">
                  <c:v>16187.299200000001</c:v>
                </c:pt>
                <c:pt idx="1">
                  <c:v>6474.9196800000009</c:v>
                </c:pt>
                <c:pt idx="2">
                  <c:v>4046.8248000000008</c:v>
                </c:pt>
                <c:pt idx="3" formatCode="0.0%;\(0.0%\);\-">
                  <c:v>0.25000000000000006</c:v>
                </c:pt>
                <c:pt idx="4">
                  <c:v>3035.1186000000007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3-194E-9A72-A0E17EF3BC81}"/>
            </c:ext>
          </c:extLst>
        </c:ser>
        <c:ser>
          <c:idx val="2"/>
          <c:order val="2"/>
          <c:tx>
            <c:strRef>
              <c:f>'Scenario Planning'!$D$13</c:f>
              <c:strCache>
                <c:ptCount val="1"/>
                <c:pt idx="0">
                  <c:v>Best Case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'Scenario Planning'!$D$14:$D$18</c:f>
              <c:numCache>
                <c:formatCode>\£#,##0;"(£"#,##0\);\-</c:formatCode>
                <c:ptCount val="5"/>
                <c:pt idx="0">
                  <c:v>19037.840400000005</c:v>
                </c:pt>
                <c:pt idx="1">
                  <c:v>8186.2713720000029</c:v>
                </c:pt>
                <c:pt idx="2">
                  <c:v>5616.1629180000018</c:v>
                </c:pt>
                <c:pt idx="3" formatCode="0.0%;\(0.0%\);\-">
                  <c:v>0.29500000000000004</c:v>
                </c:pt>
                <c:pt idx="4">
                  <c:v>4212.1221885000014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83-194E-9A72-A0E17EF3B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78036"/>
        <c:axId val="25940451"/>
      </c:barChart>
      <c:catAx>
        <c:axId val="47678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940451"/>
        <c:crosses val="autoZero"/>
        <c:auto val="1"/>
        <c:lblAlgn val="ctr"/>
        <c:lblOffset val="100"/>
        <c:noMultiLvlLbl val="0"/>
      </c:catAx>
      <c:valAx>
        <c:axId val="259404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£ (thousands)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£#,##0;&quot;(£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678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1295400</xdr:colOff>
      <xdr:row>21</xdr:row>
      <xdr:rowOff>160560</xdr:rowOff>
    </xdr:from>
    <xdr:to>
      <xdr:col>6</xdr:col>
      <xdr:colOff>383320</xdr:colOff>
      <xdr:row>36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10</xdr:row>
      <xdr:rowOff>165100</xdr:rowOff>
    </xdr:from>
    <xdr:to>
      <xdr:col>8</xdr:col>
      <xdr:colOff>508000</xdr:colOff>
      <xdr:row>32</xdr:row>
      <xdr:rowOff>1616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50AD02-F349-8F72-F85D-BEFB8D4B8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2108200"/>
          <a:ext cx="7772400" cy="4027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Normal="100" workbookViewId="0"/>
  </sheetViews>
  <sheetFormatPr baseColWidth="10" defaultColWidth="8.6640625" defaultRowHeight="15" x14ac:dyDescent="0.2"/>
  <cols>
    <col min="1" max="1" width="36" customWidth="1"/>
    <col min="2" max="6" width="13" customWidth="1"/>
  </cols>
  <sheetData>
    <row r="1" spans="1:6" ht="17.25" customHeight="1" x14ac:dyDescent="0.2">
      <c r="A1" s="2" t="s">
        <v>0</v>
      </c>
    </row>
    <row r="2" spans="1:6" ht="15" customHeight="1" x14ac:dyDescent="0.2">
      <c r="A2" s="3" t="s">
        <v>1</v>
      </c>
    </row>
    <row r="4" spans="1:6" ht="15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" customHeight="1" x14ac:dyDescent="0.2">
      <c r="A5" s="4" t="s">
        <v>8</v>
      </c>
      <c r="B5" s="3" t="s">
        <v>9</v>
      </c>
      <c r="C5" s="3" t="s">
        <v>9</v>
      </c>
      <c r="D5" s="5">
        <v>7.0000000000000007E-2</v>
      </c>
      <c r="E5" s="5">
        <v>0.09</v>
      </c>
      <c r="F5" s="5">
        <v>0.08</v>
      </c>
    </row>
    <row r="6" spans="1:6" ht="15" customHeight="1" x14ac:dyDescent="0.2">
      <c r="A6" s="4" t="s">
        <v>10</v>
      </c>
      <c r="B6" s="5">
        <v>0.63</v>
      </c>
      <c r="C6" s="5">
        <v>0.62</v>
      </c>
      <c r="D6" s="5">
        <v>0.61</v>
      </c>
      <c r="E6" s="5">
        <v>0.6</v>
      </c>
      <c r="F6" s="5">
        <v>0.59</v>
      </c>
    </row>
    <row r="7" spans="1:6" ht="15" customHeight="1" x14ac:dyDescent="0.2">
      <c r="A7" s="4" t="s">
        <v>11</v>
      </c>
      <c r="B7" s="5">
        <v>0.17</v>
      </c>
      <c r="C7" s="5">
        <v>0.16</v>
      </c>
      <c r="D7" s="5">
        <v>0.155</v>
      </c>
      <c r="E7" s="5">
        <v>0.15</v>
      </c>
      <c r="F7" s="5">
        <v>0.14499999999999999</v>
      </c>
    </row>
    <row r="8" spans="1:6" ht="15" customHeight="1" x14ac:dyDescent="0.2">
      <c r="A8" s="4" t="s">
        <v>12</v>
      </c>
      <c r="B8" s="5">
        <v>0.25</v>
      </c>
      <c r="C8" s="5">
        <v>0.25</v>
      </c>
      <c r="D8" s="5">
        <v>0.25</v>
      </c>
      <c r="E8" s="5">
        <v>0.25</v>
      </c>
      <c r="F8" s="5">
        <v>0.25</v>
      </c>
    </row>
    <row r="9" spans="1:6" ht="15" customHeight="1" x14ac:dyDescent="0.2">
      <c r="A9" s="4" t="s">
        <v>13</v>
      </c>
      <c r="B9" s="6">
        <v>42</v>
      </c>
      <c r="C9" s="6">
        <v>40</v>
      </c>
      <c r="D9" s="6">
        <v>38</v>
      </c>
      <c r="E9" s="6">
        <v>36</v>
      </c>
      <c r="F9" s="6">
        <v>35</v>
      </c>
    </row>
    <row r="10" spans="1:6" ht="15" customHeight="1" x14ac:dyDescent="0.2">
      <c r="A10" s="4" t="s">
        <v>14</v>
      </c>
      <c r="B10" s="6">
        <v>58</v>
      </c>
      <c r="C10" s="6">
        <v>56</v>
      </c>
      <c r="D10" s="6">
        <v>54</v>
      </c>
      <c r="E10" s="6">
        <v>52</v>
      </c>
      <c r="F10" s="6">
        <v>50</v>
      </c>
    </row>
    <row r="11" spans="1:6" ht="15" customHeight="1" x14ac:dyDescent="0.2">
      <c r="A11" s="4" t="s">
        <v>15</v>
      </c>
      <c r="B11" s="6">
        <v>45</v>
      </c>
      <c r="C11" s="6">
        <v>43</v>
      </c>
      <c r="D11" s="6">
        <v>41</v>
      </c>
      <c r="E11" s="6">
        <v>39</v>
      </c>
      <c r="F11" s="6">
        <v>37</v>
      </c>
    </row>
    <row r="12" spans="1:6" ht="15" customHeight="1" x14ac:dyDescent="0.2">
      <c r="A12" s="4" t="s">
        <v>16</v>
      </c>
      <c r="B12" s="5">
        <v>0.03</v>
      </c>
      <c r="C12" s="5">
        <v>0.03</v>
      </c>
      <c r="D12" s="5">
        <v>0.03</v>
      </c>
      <c r="E12" s="5">
        <v>0.03</v>
      </c>
      <c r="F12" s="5">
        <v>0.03</v>
      </c>
    </row>
    <row r="13" spans="1:6" ht="15" customHeight="1" x14ac:dyDescent="0.2">
      <c r="A13" s="4" t="s">
        <v>17</v>
      </c>
      <c r="B13" s="5">
        <v>0.12</v>
      </c>
      <c r="C13" s="5">
        <v>0.12</v>
      </c>
      <c r="D13" s="5">
        <v>0.12</v>
      </c>
      <c r="E13" s="5">
        <v>0.12</v>
      </c>
      <c r="F13" s="5">
        <v>0.12</v>
      </c>
    </row>
    <row r="14" spans="1:6" ht="15" customHeight="1" x14ac:dyDescent="0.2">
      <c r="A14" s="4" t="s">
        <v>18</v>
      </c>
      <c r="B14" s="5">
        <v>6.5000000000000002E-2</v>
      </c>
      <c r="C14" s="5">
        <v>0.06</v>
      </c>
      <c r="D14" s="5">
        <v>5.8000000000000003E-2</v>
      </c>
      <c r="E14" s="5">
        <v>5.5E-2</v>
      </c>
      <c r="F14" s="5">
        <v>0.05</v>
      </c>
    </row>
    <row r="16" spans="1:6" ht="15" customHeight="1" x14ac:dyDescent="0.2">
      <c r="A16" s="3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zoomScaleNormal="100" workbookViewId="0"/>
  </sheetViews>
  <sheetFormatPr baseColWidth="10" defaultColWidth="8.6640625" defaultRowHeight="15" x14ac:dyDescent="0.2"/>
  <cols>
    <col min="1" max="1" width="36" customWidth="1"/>
    <col min="2" max="6" width="13" customWidth="1"/>
  </cols>
  <sheetData>
    <row r="1" spans="1:6" ht="17.25" customHeight="1" x14ac:dyDescent="0.2">
      <c r="A1" s="2" t="s">
        <v>20</v>
      </c>
    </row>
    <row r="2" spans="1:6" ht="15" customHeight="1" x14ac:dyDescent="0.2">
      <c r="A2" s="3" t="s">
        <v>21</v>
      </c>
    </row>
    <row r="4" spans="1:6" ht="15" customHeight="1" x14ac:dyDescent="0.2">
      <c r="A4" s="1" t="s">
        <v>22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" customHeight="1" x14ac:dyDescent="0.2">
      <c r="A5" s="7" t="s">
        <v>23</v>
      </c>
      <c r="B5" s="8">
        <v>11800</v>
      </c>
      <c r="C5" s="8">
        <v>12850</v>
      </c>
      <c r="D5" s="9">
        <f>C5*(1+Assumptions!D5)</f>
        <v>13749.5</v>
      </c>
      <c r="E5" s="9">
        <f>D5*(1+Assumptions!E5)</f>
        <v>14986.955000000002</v>
      </c>
      <c r="F5" s="9">
        <f>E5*(1+Assumptions!F5)</f>
        <v>16185.911400000003</v>
      </c>
    </row>
    <row r="6" spans="1:6" ht="15" customHeight="1" x14ac:dyDescent="0.2">
      <c r="A6" s="4" t="s">
        <v>24</v>
      </c>
      <c r="B6" s="9">
        <f>-B5*Assumptions!B6</f>
        <v>-7434</v>
      </c>
      <c r="C6" s="9">
        <f>-C5*Assumptions!C6</f>
        <v>-7967</v>
      </c>
      <c r="D6" s="9">
        <f>-D5*Assumptions!D6</f>
        <v>-8387.1949999999997</v>
      </c>
      <c r="E6" s="9">
        <f>-E5*Assumptions!E6</f>
        <v>-8992.1730000000007</v>
      </c>
      <c r="F6" s="9">
        <f>-F5*Assumptions!F6</f>
        <v>-9549.6877260000019</v>
      </c>
    </row>
    <row r="7" spans="1:6" ht="15" customHeight="1" x14ac:dyDescent="0.2">
      <c r="A7" s="7" t="s">
        <v>25</v>
      </c>
      <c r="B7" s="10">
        <f>B5+B6</f>
        <v>4366</v>
      </c>
      <c r="C7" s="10">
        <f>C5+C6</f>
        <v>4883</v>
      </c>
      <c r="D7" s="10">
        <f>D5+D6</f>
        <v>5362.3050000000003</v>
      </c>
      <c r="E7" s="10">
        <f>E5+E6</f>
        <v>5994.7820000000011</v>
      </c>
      <c r="F7" s="10">
        <f>F5+F6</f>
        <v>6636.2236740000008</v>
      </c>
    </row>
    <row r="8" spans="1:6" ht="15" customHeight="1" x14ac:dyDescent="0.2">
      <c r="A8" s="4" t="s">
        <v>26</v>
      </c>
      <c r="B8" s="11">
        <f>B7/B5</f>
        <v>0.37</v>
      </c>
      <c r="C8" s="11">
        <f>C7/C5</f>
        <v>0.38</v>
      </c>
      <c r="D8" s="11">
        <f>D7/D5</f>
        <v>0.39</v>
      </c>
      <c r="E8" s="11">
        <f>E7/E5</f>
        <v>0.4</v>
      </c>
      <c r="F8" s="11">
        <f>F7/F5</f>
        <v>0.41</v>
      </c>
    </row>
    <row r="10" spans="1:6" ht="15" customHeight="1" x14ac:dyDescent="0.2">
      <c r="A10" s="4" t="s">
        <v>27</v>
      </c>
      <c r="B10" s="9">
        <f>-B5*Assumptions!B7</f>
        <v>-2006.0000000000002</v>
      </c>
      <c r="C10" s="9">
        <f>-C5*Assumptions!C7</f>
        <v>-2056</v>
      </c>
      <c r="D10" s="9">
        <f>-D5*Assumptions!D7</f>
        <v>-2131.1725000000001</v>
      </c>
      <c r="E10" s="9">
        <f>-E5*Assumptions!E7</f>
        <v>-2248.0432500000002</v>
      </c>
      <c r="F10" s="9">
        <f>-F5*Assumptions!F7</f>
        <v>-2346.9571530000003</v>
      </c>
    </row>
    <row r="11" spans="1:6" ht="15" customHeight="1" x14ac:dyDescent="0.2">
      <c r="A11" s="4" t="s">
        <v>28</v>
      </c>
      <c r="B11" s="12">
        <f>'Balance Sheet'!B11*Assumptions!B13</f>
        <v>732</v>
      </c>
      <c r="C11" s="12">
        <f>'Balance Sheet'!C11*Assumptions!C13</f>
        <v>778.26</v>
      </c>
      <c r="D11" s="12">
        <f>'Balance Sheet'!D11*Assumptions!D13</f>
        <v>827.75819999999987</v>
      </c>
      <c r="E11" s="12">
        <f>'Balance Sheet'!E11*Assumptions!E13</f>
        <v>881.71123799999998</v>
      </c>
      <c r="F11" s="12">
        <f>'Balance Sheet'!F11*Assumptions!F13</f>
        <v>939.98051903999988</v>
      </c>
    </row>
    <row r="12" spans="1:6" ht="15" customHeight="1" x14ac:dyDescent="0.2">
      <c r="A12" s="7" t="s">
        <v>29</v>
      </c>
      <c r="B12" s="10">
        <f>B7+B10-B11</f>
        <v>1628</v>
      </c>
      <c r="C12" s="10">
        <f>C7+C10-C11</f>
        <v>2048.7399999999998</v>
      </c>
      <c r="D12" s="10">
        <f>D7+D10-D11</f>
        <v>2403.3743000000004</v>
      </c>
      <c r="E12" s="10">
        <f>E7+E10-E11</f>
        <v>2865.027512000001</v>
      </c>
      <c r="F12" s="10">
        <f>F7+F10-F11</f>
        <v>3349.2860019600007</v>
      </c>
    </row>
    <row r="14" spans="1:6" ht="15" customHeight="1" x14ac:dyDescent="0.2">
      <c r="A14" s="4" t="s">
        <v>30</v>
      </c>
      <c r="B14" s="12">
        <f>-'Balance Sheet'!B18*Assumptions!B14</f>
        <v>-169</v>
      </c>
      <c r="C14" s="12">
        <f>-'Balance Sheet'!C18*Assumptions!C14</f>
        <v>-148.79999999999998</v>
      </c>
      <c r="D14" s="12">
        <f>-'Balance Sheet'!D18*Assumptions!D14</f>
        <v>-136.88</v>
      </c>
      <c r="E14" s="12">
        <f>-'Balance Sheet'!E18*Assumptions!E14</f>
        <v>-123.2</v>
      </c>
      <c r="F14" s="12">
        <f>-'Balance Sheet'!F18*Assumptions!F14</f>
        <v>-106</v>
      </c>
    </row>
    <row r="15" spans="1:6" ht="15" customHeight="1" x14ac:dyDescent="0.2">
      <c r="A15" s="7" t="s">
        <v>31</v>
      </c>
      <c r="B15" s="13">
        <f>B12+B14</f>
        <v>1459</v>
      </c>
      <c r="C15" s="13">
        <f>C12+C14</f>
        <v>1899.9399999999998</v>
      </c>
      <c r="D15" s="13">
        <f>D12+D14</f>
        <v>2266.4943000000003</v>
      </c>
      <c r="E15" s="13">
        <f>E12+E14</f>
        <v>2741.8275120000012</v>
      </c>
      <c r="F15" s="13">
        <f>F12+F14</f>
        <v>3243.2860019600007</v>
      </c>
    </row>
    <row r="16" spans="1:6" ht="15" customHeight="1" x14ac:dyDescent="0.2">
      <c r="A16" s="4" t="s">
        <v>32</v>
      </c>
      <c r="B16" s="9">
        <f>-B15*Assumptions!B8</f>
        <v>-364.75</v>
      </c>
      <c r="C16" s="9">
        <f>-C15*Assumptions!C8</f>
        <v>-474.98499999999996</v>
      </c>
      <c r="D16" s="9">
        <f>-D15*Assumptions!D8</f>
        <v>-566.62357500000007</v>
      </c>
      <c r="E16" s="9">
        <f>-E15*Assumptions!E8</f>
        <v>-685.4568780000003</v>
      </c>
      <c r="F16" s="9">
        <f>-F15*Assumptions!F8</f>
        <v>-810.82150049000018</v>
      </c>
    </row>
    <row r="17" spans="1:6" ht="15" customHeight="1" x14ac:dyDescent="0.2">
      <c r="A17" s="7" t="s">
        <v>33</v>
      </c>
      <c r="B17" s="14">
        <f>B15+B16</f>
        <v>1094.25</v>
      </c>
      <c r="C17" s="14">
        <f>C15+C16</f>
        <v>1424.9549999999999</v>
      </c>
      <c r="D17" s="14">
        <f>D15+D16</f>
        <v>1699.8707250000002</v>
      </c>
      <c r="E17" s="14">
        <f>E15+E16</f>
        <v>2056.3706340000008</v>
      </c>
      <c r="F17" s="14">
        <f>F15+F16</f>
        <v>2432.4645014700004</v>
      </c>
    </row>
    <row r="18" spans="1:6" ht="15" customHeight="1" x14ac:dyDescent="0.2">
      <c r="A18" s="4" t="s">
        <v>34</v>
      </c>
      <c r="B18" s="11">
        <f>B17/B5</f>
        <v>9.2733050847457629E-2</v>
      </c>
      <c r="C18" s="11">
        <f>C17/C5</f>
        <v>0.11089143968871595</v>
      </c>
      <c r="D18" s="11">
        <f>D17/D5</f>
        <v>0.12363145750754574</v>
      </c>
      <c r="E18" s="11">
        <f>E17/E5</f>
        <v>0.13721070317486112</v>
      </c>
      <c r="F18" s="11">
        <f>F17/F5</f>
        <v>0.1502828256844406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zoomScaleNormal="100" workbookViewId="0"/>
  </sheetViews>
  <sheetFormatPr baseColWidth="10" defaultColWidth="8.6640625" defaultRowHeight="15" x14ac:dyDescent="0.2"/>
  <cols>
    <col min="1" max="1" width="36" customWidth="1"/>
    <col min="2" max="6" width="13" customWidth="1"/>
  </cols>
  <sheetData>
    <row r="1" spans="1:6" ht="17.25" customHeight="1" x14ac:dyDescent="0.2">
      <c r="A1" s="2" t="s">
        <v>35</v>
      </c>
    </row>
    <row r="2" spans="1:6" ht="15" customHeight="1" x14ac:dyDescent="0.2">
      <c r="A2" s="3" t="s">
        <v>21</v>
      </c>
    </row>
    <row r="4" spans="1:6" ht="15" customHeight="1" x14ac:dyDescent="0.2">
      <c r="A4" s="1" t="s">
        <v>22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" customHeight="1" x14ac:dyDescent="0.2">
      <c r="A5" s="7" t="s">
        <v>36</v>
      </c>
    </row>
    <row r="6" spans="1:6" ht="15" customHeight="1" x14ac:dyDescent="0.2">
      <c r="A6" s="4" t="s">
        <v>37</v>
      </c>
      <c r="B6" s="8">
        <v>1650</v>
      </c>
      <c r="C6" s="12">
        <f>B6+'Cash Flow'!C21</f>
        <v>3316.2876027397256</v>
      </c>
      <c r="D6" s="12">
        <f>C6+'Cash Flow'!D21</f>
        <v>5303.1617606164382</v>
      </c>
      <c r="E6" s="12">
        <f>D6+'Cash Flow'!E21</f>
        <v>7646.4715141232873</v>
      </c>
      <c r="F6" s="12">
        <f>E6+'Cash Flow'!F21</f>
        <v>10359.287610271644</v>
      </c>
    </row>
    <row r="7" spans="1:6" ht="15" customHeight="1" x14ac:dyDescent="0.2">
      <c r="A7" s="4" t="s">
        <v>38</v>
      </c>
      <c r="B7" s="12">
        <f>'Income Statement'!B5/365*Assumptions!B9</f>
        <v>1357.808219178082</v>
      </c>
      <c r="C7" s="12">
        <f>'Income Statement'!C5/365*Assumptions!C9</f>
        <v>1408.2191780821918</v>
      </c>
      <c r="D7" s="12">
        <f>'Income Statement'!D5/365*Assumptions!D9</f>
        <v>1431.4547945205479</v>
      </c>
      <c r="E7" s="12">
        <f>'Income Statement'!E5/365*Assumptions!E9</f>
        <v>1478.1654246575345</v>
      </c>
      <c r="F7" s="12">
        <f>'Income Statement'!F5/365*Assumptions!F9</f>
        <v>1552.0736958904113</v>
      </c>
    </row>
    <row r="8" spans="1:6" ht="15" customHeight="1" x14ac:dyDescent="0.2">
      <c r="A8" s="4" t="s">
        <v>39</v>
      </c>
      <c r="B8" s="12">
        <f>-'Income Statement'!B6/365*Assumptions!B11</f>
        <v>916.52054794520552</v>
      </c>
      <c r="C8" s="12">
        <f>-'Income Statement'!C6/365*Assumptions!C11</f>
        <v>938.57808219178082</v>
      </c>
      <c r="D8" s="12">
        <f>-'Income Statement'!D6/365*Assumptions!D11</f>
        <v>942.12327397260265</v>
      </c>
      <c r="E8" s="12">
        <f>-'Income Statement'!E6/365*Assumptions!E11</f>
        <v>960.80752602739733</v>
      </c>
      <c r="F8" s="12">
        <f>-'Income Statement'!F6/365*Assumptions!F11</f>
        <v>968.05053660821943</v>
      </c>
    </row>
    <row r="9" spans="1:6" ht="15" customHeight="1" x14ac:dyDescent="0.2">
      <c r="A9" s="7" t="s">
        <v>40</v>
      </c>
      <c r="B9" s="10">
        <f>SUM(B6:B8)</f>
        <v>3924.3287671232879</v>
      </c>
      <c r="C9" s="10">
        <f>SUM(C6:C8)</f>
        <v>5663.0848630136979</v>
      </c>
      <c r="D9" s="10">
        <f>SUM(D6:D8)</f>
        <v>7676.7398291095888</v>
      </c>
      <c r="E9" s="10">
        <f>SUM(E6:E8)</f>
        <v>10085.444464808221</v>
      </c>
      <c r="F9" s="10">
        <f>SUM(F6:F8)</f>
        <v>12879.411842770274</v>
      </c>
    </row>
    <row r="11" spans="1:6" ht="15" customHeight="1" x14ac:dyDescent="0.2">
      <c r="A11" s="4" t="s">
        <v>41</v>
      </c>
      <c r="B11" s="8">
        <v>6100</v>
      </c>
      <c r="C11" s="12">
        <f>B11+'Cash Flow'!C14*-1</f>
        <v>6485.5</v>
      </c>
      <c r="D11" s="12">
        <f>C11+'Cash Flow'!D14*-1</f>
        <v>6897.9849999999997</v>
      </c>
      <c r="E11" s="12">
        <f>D11+'Cash Flow'!E14*-1</f>
        <v>7347.5936499999998</v>
      </c>
      <c r="F11" s="12">
        <f>E11+'Cash Flow'!F14*-1</f>
        <v>7833.1709919999994</v>
      </c>
    </row>
    <row r="12" spans="1:6" ht="15" customHeight="1" x14ac:dyDescent="0.2">
      <c r="A12" s="4" t="s">
        <v>42</v>
      </c>
      <c r="B12" s="8">
        <v>-1750</v>
      </c>
      <c r="C12" s="12">
        <f>B12-'Income Statement'!C11</f>
        <v>-2528.2600000000002</v>
      </c>
      <c r="D12" s="12">
        <f>C12-'Income Statement'!D11</f>
        <v>-3356.0182</v>
      </c>
      <c r="E12" s="12">
        <f>D12-'Income Statement'!E11</f>
        <v>-4237.7294380000003</v>
      </c>
      <c r="F12" s="12">
        <f>E12-'Income Statement'!F11</f>
        <v>-5177.7099570400005</v>
      </c>
    </row>
    <row r="13" spans="1:6" ht="15" customHeight="1" x14ac:dyDescent="0.2">
      <c r="A13" s="7" t="s">
        <v>43</v>
      </c>
      <c r="B13" s="10">
        <f>B11+B12</f>
        <v>4350</v>
      </c>
      <c r="C13" s="10">
        <f>C11+C12</f>
        <v>3957.24</v>
      </c>
      <c r="D13" s="10">
        <f>D11+D12</f>
        <v>3541.9667999999997</v>
      </c>
      <c r="E13" s="10">
        <f>E11+E12</f>
        <v>3109.8642119999995</v>
      </c>
      <c r="F13" s="10">
        <f>F11+F12</f>
        <v>2655.4610349599989</v>
      </c>
    </row>
    <row r="14" spans="1:6" ht="15" customHeight="1" x14ac:dyDescent="0.2">
      <c r="A14" s="7" t="s">
        <v>44</v>
      </c>
      <c r="B14" s="15">
        <f>B9+B13</f>
        <v>8274.3287671232883</v>
      </c>
      <c r="C14" s="15">
        <f>C9+C13</f>
        <v>9620.3248630136986</v>
      </c>
      <c r="D14" s="15">
        <f>D9+D13</f>
        <v>11218.706629109589</v>
      </c>
      <c r="E14" s="15">
        <f>E9+E13</f>
        <v>13195.308676808221</v>
      </c>
      <c r="F14" s="15">
        <f>F9+F13</f>
        <v>15534.872877730273</v>
      </c>
    </row>
    <row r="16" spans="1:6" ht="15" customHeight="1" x14ac:dyDescent="0.2">
      <c r="A16" s="7" t="s">
        <v>45</v>
      </c>
    </row>
    <row r="17" spans="1:6" ht="15" customHeight="1" x14ac:dyDescent="0.2">
      <c r="A17" s="4" t="s">
        <v>46</v>
      </c>
      <c r="B17" s="12">
        <f>-'Income Statement'!B6/365*Assumptions!B10</f>
        <v>1181.2931506849316</v>
      </c>
      <c r="C17" s="12">
        <f>-'Income Statement'!C6/365*Assumptions!C10</f>
        <v>1222.3342465753424</v>
      </c>
      <c r="D17" s="12">
        <f>-'Income Statement'!D6/365*Assumptions!D10</f>
        <v>1240.8452876712329</v>
      </c>
      <c r="E17" s="12">
        <f>-'Income Statement'!E6/365*Assumptions!E10</f>
        <v>1281.0767013698633</v>
      </c>
      <c r="F17" s="12">
        <f>-'Income Statement'!F6/365*Assumptions!F10</f>
        <v>1308.1764008219182</v>
      </c>
    </row>
    <row r="18" spans="1:6" ht="15" customHeight="1" x14ac:dyDescent="0.2">
      <c r="A18" s="4" t="s">
        <v>47</v>
      </c>
      <c r="B18" s="8">
        <v>2600</v>
      </c>
      <c r="C18" s="12">
        <f>B18+'Cash Flow'!C18</f>
        <v>2480</v>
      </c>
      <c r="D18" s="12">
        <f>C18+'Cash Flow'!D18</f>
        <v>2360</v>
      </c>
      <c r="E18" s="12">
        <f>D18+'Cash Flow'!E18</f>
        <v>2240</v>
      </c>
      <c r="F18" s="12">
        <f>E18+'Cash Flow'!F18</f>
        <v>2120</v>
      </c>
    </row>
    <row r="19" spans="1:6" ht="15" customHeight="1" x14ac:dyDescent="0.2">
      <c r="A19" s="7" t="s">
        <v>48</v>
      </c>
      <c r="B19" s="10">
        <f>SUM(B17:B18)</f>
        <v>3781.2931506849318</v>
      </c>
      <c r="C19" s="10">
        <f>SUM(C17:C18)</f>
        <v>3702.3342465753421</v>
      </c>
      <c r="D19" s="10">
        <f>SUM(D17:D18)</f>
        <v>3600.8452876712327</v>
      </c>
      <c r="E19" s="10">
        <f>SUM(E17:E18)</f>
        <v>3521.0767013698633</v>
      </c>
      <c r="F19" s="10">
        <f>SUM(F17:F18)</f>
        <v>3428.1764008219179</v>
      </c>
    </row>
    <row r="21" spans="1:6" ht="15" customHeight="1" x14ac:dyDescent="0.2">
      <c r="A21" s="4" t="s">
        <v>49</v>
      </c>
      <c r="B21" s="8">
        <v>3900</v>
      </c>
      <c r="C21" s="12">
        <f>B21+'Income Statement'!C17</f>
        <v>5324.9549999999999</v>
      </c>
      <c r="D21" s="12">
        <f>C21+'Income Statement'!D17</f>
        <v>7024.8257250000006</v>
      </c>
      <c r="E21" s="12">
        <f>D21+'Income Statement'!E17</f>
        <v>9081.1963590000014</v>
      </c>
      <c r="F21" s="12">
        <f>E21+'Income Statement'!F17</f>
        <v>11513.660860470001</v>
      </c>
    </row>
    <row r="22" spans="1:6" ht="15" customHeight="1" x14ac:dyDescent="0.2">
      <c r="A22" s="4" t="s">
        <v>50</v>
      </c>
      <c r="B22" s="9">
        <f>B14-B19-B21</f>
        <v>593.03561643835656</v>
      </c>
      <c r="C22" s="9">
        <f>B22</f>
        <v>593.03561643835656</v>
      </c>
      <c r="D22" s="9">
        <f>C22</f>
        <v>593.03561643835656</v>
      </c>
      <c r="E22" s="9">
        <f>D22</f>
        <v>593.03561643835656</v>
      </c>
      <c r="F22" s="9">
        <f>E22</f>
        <v>593.03561643835656</v>
      </c>
    </row>
    <row r="23" spans="1:6" ht="15" customHeight="1" x14ac:dyDescent="0.2">
      <c r="A23" s="7" t="s">
        <v>51</v>
      </c>
      <c r="B23" s="10">
        <f>B21+B22</f>
        <v>4493.0356164383566</v>
      </c>
      <c r="C23" s="10">
        <f>C21+C22</f>
        <v>5917.9906164383565</v>
      </c>
      <c r="D23" s="10">
        <f>D21+D22</f>
        <v>7617.8613414383572</v>
      </c>
      <c r="E23" s="10">
        <f>E21+E22</f>
        <v>9674.231975438357</v>
      </c>
      <c r="F23" s="10">
        <f>F21+F22</f>
        <v>12106.696476908357</v>
      </c>
    </row>
    <row r="24" spans="1:6" ht="15" customHeight="1" x14ac:dyDescent="0.2">
      <c r="A24" s="7" t="s">
        <v>52</v>
      </c>
      <c r="B24" s="15">
        <f>B19+B23</f>
        <v>8274.3287671232883</v>
      </c>
      <c r="C24" s="15">
        <f>C19+C23</f>
        <v>9620.3248630136986</v>
      </c>
      <c r="D24" s="15">
        <f>D19+D23</f>
        <v>11218.706629109591</v>
      </c>
      <c r="E24" s="15">
        <f>E19+E23</f>
        <v>13195.308676808221</v>
      </c>
      <c r="F24" s="15">
        <f>F19+F23</f>
        <v>15534.872877730275</v>
      </c>
    </row>
    <row r="26" spans="1:6" ht="15" customHeight="1" x14ac:dyDescent="0.2">
      <c r="A26" s="4" t="s">
        <v>53</v>
      </c>
      <c r="B26" s="16">
        <f>B14-B24</f>
        <v>0</v>
      </c>
      <c r="C26" s="16">
        <f>C14-C24</f>
        <v>0</v>
      </c>
      <c r="D26" s="16">
        <f>D14-D24</f>
        <v>0</v>
      </c>
      <c r="E26" s="16">
        <f>E14-E24</f>
        <v>0</v>
      </c>
      <c r="F26" s="16">
        <f>F14-F24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zoomScaleNormal="100" workbookViewId="0"/>
  </sheetViews>
  <sheetFormatPr baseColWidth="10" defaultColWidth="8.6640625" defaultRowHeight="15" x14ac:dyDescent="0.2"/>
  <cols>
    <col min="1" max="1" width="36" customWidth="1"/>
    <col min="2" max="6" width="13" customWidth="1"/>
  </cols>
  <sheetData>
    <row r="1" spans="1:6" ht="17.25" customHeight="1" x14ac:dyDescent="0.2">
      <c r="A1" s="2" t="s">
        <v>54</v>
      </c>
    </row>
    <row r="2" spans="1:6" ht="15" customHeight="1" x14ac:dyDescent="0.2">
      <c r="A2" s="3" t="s">
        <v>21</v>
      </c>
    </row>
    <row r="4" spans="1:6" ht="15" customHeight="1" x14ac:dyDescent="0.2">
      <c r="A4" s="1" t="s">
        <v>22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" customHeight="1" x14ac:dyDescent="0.2">
      <c r="A5" s="7" t="s">
        <v>55</v>
      </c>
    </row>
    <row r="6" spans="1:6" ht="15" customHeight="1" x14ac:dyDescent="0.2">
      <c r="A6" s="4" t="s">
        <v>56</v>
      </c>
      <c r="B6" s="12">
        <f>'Income Statement'!B17</f>
        <v>1094.25</v>
      </c>
      <c r="C6" s="12">
        <f>'Income Statement'!C17</f>
        <v>1424.9549999999999</v>
      </c>
      <c r="D6" s="12">
        <f>'Income Statement'!D17</f>
        <v>1699.8707250000002</v>
      </c>
      <c r="E6" s="12">
        <f>'Income Statement'!E17</f>
        <v>2056.3706340000008</v>
      </c>
      <c r="F6" s="12">
        <f>'Income Statement'!F17</f>
        <v>2432.4645014700004</v>
      </c>
    </row>
    <row r="7" spans="1:6" ht="15" customHeight="1" x14ac:dyDescent="0.2">
      <c r="A7" s="4" t="s">
        <v>57</v>
      </c>
      <c r="B7" s="12">
        <f>'Income Statement'!B11</f>
        <v>732</v>
      </c>
      <c r="C7" s="12">
        <f>'Income Statement'!C11</f>
        <v>778.26</v>
      </c>
      <c r="D7" s="12">
        <f>'Income Statement'!D11</f>
        <v>827.75819999999987</v>
      </c>
      <c r="E7" s="12">
        <f>'Income Statement'!E11</f>
        <v>881.71123799999998</v>
      </c>
      <c r="F7" s="12">
        <f>'Income Statement'!F11</f>
        <v>939.98051903999988</v>
      </c>
    </row>
    <row r="8" spans="1:6" ht="15" customHeight="1" x14ac:dyDescent="0.2">
      <c r="A8" s="4" t="s">
        <v>58</v>
      </c>
      <c r="B8" s="9">
        <v>0</v>
      </c>
      <c r="C8" s="12">
        <f>-('Balance Sheet'!C7-'Balance Sheet'!B7)</f>
        <v>-50.410958904109748</v>
      </c>
      <c r="D8" s="12">
        <f>-('Balance Sheet'!D7-'Balance Sheet'!C7)</f>
        <v>-23.235616438356146</v>
      </c>
      <c r="E8" s="12">
        <f>-('Balance Sheet'!E7-'Balance Sheet'!D7)</f>
        <v>-46.710630136986538</v>
      </c>
      <c r="F8" s="12">
        <f>-('Balance Sheet'!F7-'Balance Sheet'!E7)</f>
        <v>-73.908271232876814</v>
      </c>
    </row>
    <row r="9" spans="1:6" ht="15" customHeight="1" x14ac:dyDescent="0.2">
      <c r="A9" s="4" t="s">
        <v>59</v>
      </c>
      <c r="B9" s="9">
        <v>0</v>
      </c>
      <c r="C9" s="12">
        <f>-('Balance Sheet'!C8-'Balance Sheet'!B8)</f>
        <v>-22.057534246575301</v>
      </c>
      <c r="D9" s="12">
        <f>-('Balance Sheet'!D8-'Balance Sheet'!C8)</f>
        <v>-3.5451917808218241</v>
      </c>
      <c r="E9" s="12">
        <f>-('Balance Sheet'!E8-'Balance Sheet'!D8)</f>
        <v>-18.684252054794683</v>
      </c>
      <c r="F9" s="12">
        <f>-('Balance Sheet'!F8-'Balance Sheet'!E8)</f>
        <v>-7.2430105808221015</v>
      </c>
    </row>
    <row r="10" spans="1:6" ht="15" customHeight="1" x14ac:dyDescent="0.2">
      <c r="A10" s="4" t="s">
        <v>60</v>
      </c>
      <c r="B10" s="9">
        <v>0</v>
      </c>
      <c r="C10" s="12">
        <f>'Balance Sheet'!C17-'Balance Sheet'!B17</f>
        <v>41.041095890410816</v>
      </c>
      <c r="D10" s="12">
        <f>'Balance Sheet'!D17-'Balance Sheet'!C17</f>
        <v>18.511041095890505</v>
      </c>
      <c r="E10" s="12">
        <f>'Balance Sheet'!E17-'Balance Sheet'!D17</f>
        <v>40.231413698630377</v>
      </c>
      <c r="F10" s="12">
        <f>'Balance Sheet'!F17-'Balance Sheet'!E17</f>
        <v>27.099699452054892</v>
      </c>
    </row>
    <row r="11" spans="1:6" ht="15" customHeight="1" x14ac:dyDescent="0.2">
      <c r="A11" s="7" t="s">
        <v>61</v>
      </c>
      <c r="B11" s="10">
        <f>SUM(B6:B10)</f>
        <v>1826.25</v>
      </c>
      <c r="C11" s="10">
        <f>SUM(C6:C10)</f>
        <v>2171.7876027397256</v>
      </c>
      <c r="D11" s="10">
        <f>SUM(D6:D10)</f>
        <v>2519.3591578767123</v>
      </c>
      <c r="E11" s="10">
        <f>SUM(E6:E10)</f>
        <v>2912.9184035068492</v>
      </c>
      <c r="F11" s="10">
        <f>SUM(F6:F10)</f>
        <v>3318.3934381483559</v>
      </c>
    </row>
    <row r="13" spans="1:6" ht="15" customHeight="1" x14ac:dyDescent="0.2">
      <c r="A13" s="7" t="s">
        <v>62</v>
      </c>
    </row>
    <row r="14" spans="1:6" ht="15" customHeight="1" x14ac:dyDescent="0.2">
      <c r="A14" s="4" t="s">
        <v>63</v>
      </c>
      <c r="B14" s="12">
        <f>-'Income Statement'!B5*Assumptions!B12</f>
        <v>-354</v>
      </c>
      <c r="C14" s="12">
        <f>-'Income Statement'!C5*Assumptions!C12</f>
        <v>-385.5</v>
      </c>
      <c r="D14" s="12">
        <f>-'Income Statement'!D5*Assumptions!D12</f>
        <v>-412.48499999999996</v>
      </c>
      <c r="E14" s="12">
        <f>-'Income Statement'!E5*Assumptions!E12</f>
        <v>-449.60865000000001</v>
      </c>
      <c r="F14" s="12">
        <f>-'Income Statement'!F5*Assumptions!F12</f>
        <v>-485.57734200000004</v>
      </c>
    </row>
    <row r="15" spans="1:6" ht="15" customHeight="1" x14ac:dyDescent="0.2">
      <c r="A15" s="7" t="s">
        <v>64</v>
      </c>
      <c r="B15" s="10">
        <f>B14</f>
        <v>-354</v>
      </c>
      <c r="C15" s="10">
        <f>C14</f>
        <v>-385.5</v>
      </c>
      <c r="D15" s="10">
        <f>D14</f>
        <v>-412.48499999999996</v>
      </c>
      <c r="E15" s="10">
        <f>E14</f>
        <v>-449.60865000000001</v>
      </c>
      <c r="F15" s="10">
        <f>F14</f>
        <v>-485.57734200000004</v>
      </c>
    </row>
    <row r="17" spans="1:6" ht="15" customHeight="1" x14ac:dyDescent="0.2">
      <c r="A17" s="7" t="s">
        <v>65</v>
      </c>
    </row>
    <row r="18" spans="1:6" ht="15" customHeight="1" x14ac:dyDescent="0.2">
      <c r="A18" s="4" t="s">
        <v>66</v>
      </c>
      <c r="B18" s="8">
        <v>0</v>
      </c>
      <c r="C18" s="8">
        <v>-120</v>
      </c>
      <c r="D18" s="8">
        <v>-120</v>
      </c>
      <c r="E18" s="8">
        <v>-120</v>
      </c>
      <c r="F18" s="8">
        <v>-120</v>
      </c>
    </row>
    <row r="19" spans="1:6" ht="15" customHeight="1" x14ac:dyDescent="0.2">
      <c r="A19" s="7" t="s">
        <v>67</v>
      </c>
      <c r="B19" s="10">
        <f>B18</f>
        <v>0</v>
      </c>
      <c r="C19" s="10">
        <f>C18</f>
        <v>-120</v>
      </c>
      <c r="D19" s="10">
        <f>D18</f>
        <v>-120</v>
      </c>
      <c r="E19" s="10">
        <f>E18</f>
        <v>-120</v>
      </c>
      <c r="F19" s="10">
        <f>F18</f>
        <v>-120</v>
      </c>
    </row>
    <row r="21" spans="1:6" ht="15" customHeight="1" x14ac:dyDescent="0.2">
      <c r="A21" s="7" t="s">
        <v>68</v>
      </c>
      <c r="B21" s="17">
        <v>0</v>
      </c>
      <c r="C21" s="14">
        <f>C11+C15+C19</f>
        <v>1666.2876027397256</v>
      </c>
      <c r="D21" s="14">
        <f>D11+D15+D19</f>
        <v>1986.8741578767122</v>
      </c>
      <c r="E21" s="14">
        <f>E11+E15+E19</f>
        <v>2343.3097535068491</v>
      </c>
      <c r="F21" s="14">
        <f>F11+F15+F19</f>
        <v>2712.8160961483559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zoomScaleNormal="100" workbookViewId="0">
      <selection activeCell="K17" sqref="K17"/>
    </sheetView>
  </sheetViews>
  <sheetFormatPr baseColWidth="10" defaultColWidth="8.6640625" defaultRowHeight="15" x14ac:dyDescent="0.2"/>
  <cols>
    <col min="1" max="1" width="34" customWidth="1"/>
    <col min="2" max="4" width="14" customWidth="1"/>
  </cols>
  <sheetData>
    <row r="1" spans="1:4" ht="18" x14ac:dyDescent="0.2">
      <c r="A1" s="2" t="s">
        <v>69</v>
      </c>
    </row>
    <row r="2" spans="1:4" x14ac:dyDescent="0.2">
      <c r="A2" s="3" t="s">
        <v>70</v>
      </c>
    </row>
    <row r="4" spans="1:4" x14ac:dyDescent="0.2">
      <c r="A4" s="24" t="s">
        <v>71</v>
      </c>
      <c r="B4" s="24"/>
      <c r="C4" s="24"/>
      <c r="D4" s="24"/>
    </row>
    <row r="5" spans="1:4" x14ac:dyDescent="0.2">
      <c r="B5" s="18" t="s">
        <v>72</v>
      </c>
      <c r="C5" s="1" t="s">
        <v>73</v>
      </c>
      <c r="D5" s="19" t="s">
        <v>74</v>
      </c>
    </row>
    <row r="6" spans="1:4" x14ac:dyDescent="0.2">
      <c r="A6" s="4" t="s">
        <v>75</v>
      </c>
      <c r="B6" s="5">
        <v>0.02</v>
      </c>
      <c r="C6" s="5">
        <v>0.08</v>
      </c>
      <c r="D6" s="5">
        <v>0.14000000000000001</v>
      </c>
    </row>
    <row r="7" spans="1:4" x14ac:dyDescent="0.2">
      <c r="A7" s="4" t="s">
        <v>76</v>
      </c>
      <c r="B7" s="5">
        <v>0.63</v>
      </c>
      <c r="C7" s="5">
        <v>0.6</v>
      </c>
      <c r="D7" s="5">
        <v>0.56999999999999995</v>
      </c>
    </row>
    <row r="8" spans="1:4" x14ac:dyDescent="0.2">
      <c r="A8" s="4" t="s">
        <v>77</v>
      </c>
      <c r="B8" s="5">
        <v>0.16500000000000001</v>
      </c>
      <c r="C8" s="5">
        <v>0.15</v>
      </c>
      <c r="D8" s="5">
        <v>0.13500000000000001</v>
      </c>
    </row>
    <row r="10" spans="1:4" x14ac:dyDescent="0.2">
      <c r="A10" s="3" t="s">
        <v>78</v>
      </c>
    </row>
    <row r="12" spans="1:4" x14ac:dyDescent="0.2">
      <c r="A12" s="24" t="s">
        <v>79</v>
      </c>
      <c r="B12" s="24"/>
      <c r="C12" s="24"/>
      <c r="D12" s="24"/>
    </row>
    <row r="13" spans="1:4" x14ac:dyDescent="0.2">
      <c r="B13" s="20" t="s">
        <v>72</v>
      </c>
      <c r="C13" s="21" t="s">
        <v>73</v>
      </c>
      <c r="D13" s="22" t="s">
        <v>74</v>
      </c>
    </row>
    <row r="14" spans="1:4" x14ac:dyDescent="0.2">
      <c r="A14" s="4" t="s">
        <v>80</v>
      </c>
      <c r="B14" s="9">
        <f>'Income Statement'!C5*(1+B6)^3</f>
        <v>13636.522799999999</v>
      </c>
      <c r="C14" s="9">
        <f>'Income Statement'!C5*(1+C6)^3</f>
        <v>16187.299200000001</v>
      </c>
      <c r="D14" s="9">
        <f>'Income Statement'!C5*(1+D6)^3</f>
        <v>19037.840400000005</v>
      </c>
    </row>
    <row r="15" spans="1:4" x14ac:dyDescent="0.2">
      <c r="A15" s="4" t="s">
        <v>81</v>
      </c>
      <c r="B15" s="9">
        <f>B14*(1-B7)</f>
        <v>5045.5134359999993</v>
      </c>
      <c r="C15" s="9">
        <f>C14*(1-C7)</f>
        <v>6474.9196800000009</v>
      </c>
      <c r="D15" s="9">
        <f>D14*(1-D7)</f>
        <v>8186.2713720000029</v>
      </c>
    </row>
    <row r="16" spans="1:4" x14ac:dyDescent="0.2">
      <c r="A16" s="4" t="s">
        <v>82</v>
      </c>
      <c r="B16" s="9">
        <f>B15-B14*B8</f>
        <v>2795.4871739999994</v>
      </c>
      <c r="C16" s="9">
        <f>C15-C14*C8</f>
        <v>4046.8248000000008</v>
      </c>
      <c r="D16" s="9">
        <f>D15-D14*D8</f>
        <v>5616.1629180000018</v>
      </c>
    </row>
    <row r="17" spans="1:4" x14ac:dyDescent="0.2">
      <c r="A17" s="4" t="s">
        <v>83</v>
      </c>
      <c r="B17" s="11">
        <f>B16/B14</f>
        <v>0.20499999999999999</v>
      </c>
      <c r="C17" s="11">
        <f>C16/C14</f>
        <v>0.25000000000000006</v>
      </c>
      <c r="D17" s="11">
        <f>D16/D14</f>
        <v>0.29500000000000004</v>
      </c>
    </row>
    <row r="18" spans="1:4" x14ac:dyDescent="0.2">
      <c r="A18" s="7" t="s">
        <v>84</v>
      </c>
      <c r="B18" s="10">
        <f>B16*0.75</f>
        <v>2096.6153804999994</v>
      </c>
      <c r="C18" s="10">
        <f>C16*0.75</f>
        <v>3035.1186000000007</v>
      </c>
      <c r="D18" s="10">
        <f>D16*0.75</f>
        <v>4212.1221885000014</v>
      </c>
    </row>
    <row r="19" spans="1:4" x14ac:dyDescent="0.2">
      <c r="A19" s="3" t="s">
        <v>85</v>
      </c>
      <c r="B19" s="11">
        <f>B18/$C$18-1</f>
        <v>-0.30921467764060395</v>
      </c>
      <c r="C19" s="11">
        <f>C18/$C$18-1</f>
        <v>0</v>
      </c>
      <c r="D19" s="11">
        <f>D18/$C$18-1</f>
        <v>0.38779492455418385</v>
      </c>
    </row>
  </sheetData>
  <mergeCells count="2">
    <mergeCell ref="A4:D4"/>
    <mergeCell ref="A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"/>
  <sheetViews>
    <sheetView tabSelected="1" zoomScaleNormal="100" workbookViewId="0">
      <selection activeCell="J19" sqref="J19"/>
    </sheetView>
  </sheetViews>
  <sheetFormatPr baseColWidth="10" defaultColWidth="8.6640625" defaultRowHeight="15" x14ac:dyDescent="0.2"/>
  <cols>
    <col min="1" max="5" width="14" customWidth="1"/>
  </cols>
  <sheetData>
    <row r="1" spans="1:4" ht="18" x14ac:dyDescent="0.2">
      <c r="A1" s="2" t="s">
        <v>86</v>
      </c>
    </row>
    <row r="2" spans="1:4" x14ac:dyDescent="0.2">
      <c r="A2" s="3" t="s">
        <v>21</v>
      </c>
    </row>
    <row r="4" spans="1:4" x14ac:dyDescent="0.2">
      <c r="A4" s="1" t="s">
        <v>87</v>
      </c>
      <c r="B4" s="1" t="s">
        <v>88</v>
      </c>
      <c r="C4" s="1" t="s">
        <v>72</v>
      </c>
      <c r="D4" s="1" t="s">
        <v>74</v>
      </c>
    </row>
    <row r="5" spans="1:4" x14ac:dyDescent="0.2">
      <c r="A5" s="4" t="s">
        <v>3</v>
      </c>
      <c r="B5" s="23">
        <f>'Income Statement'!B5</f>
        <v>11800</v>
      </c>
    </row>
    <row r="6" spans="1:4" x14ac:dyDescent="0.2">
      <c r="A6" s="4" t="s">
        <v>4</v>
      </c>
      <c r="B6" s="23">
        <f>'Income Statement'!C5</f>
        <v>12850</v>
      </c>
    </row>
    <row r="7" spans="1:4" x14ac:dyDescent="0.2">
      <c r="A7" s="4" t="s">
        <v>5</v>
      </c>
      <c r="B7" s="23">
        <f>'Income Statement'!D5</f>
        <v>13749.5</v>
      </c>
      <c r="C7" s="23">
        <f>'Income Statement'!C5*(1+'Scenario Planning'!$B$6)^1</f>
        <v>13107</v>
      </c>
      <c r="D7" s="23">
        <f>'Income Statement'!C5*(1+'Scenario Planning'!$D$6)^1</f>
        <v>14649.000000000002</v>
      </c>
    </row>
    <row r="8" spans="1:4" x14ac:dyDescent="0.2">
      <c r="A8" s="4" t="s">
        <v>6</v>
      </c>
      <c r="B8" s="23">
        <f>'Income Statement'!E5</f>
        <v>14986.955000000002</v>
      </c>
      <c r="C8" s="23">
        <f>'Income Statement'!C5*(1+'Scenario Planning'!$B$6)^2</f>
        <v>13369.14</v>
      </c>
      <c r="D8" s="23">
        <f>'Income Statement'!C5*(1+'Scenario Planning'!$D$6)^2</f>
        <v>16699.860000000004</v>
      </c>
    </row>
    <row r="9" spans="1:4" x14ac:dyDescent="0.2">
      <c r="A9" s="4" t="s">
        <v>7</v>
      </c>
      <c r="B9" s="23">
        <f>'Income Statement'!F5</f>
        <v>16185.911400000003</v>
      </c>
      <c r="C9" s="23">
        <f>'Income Statement'!C5*(1+'Scenario Planning'!$B$6)^3</f>
        <v>13636.522799999999</v>
      </c>
      <c r="D9" s="23">
        <f>'Income Statement'!C5*(1+'Scenario Planning'!$D$6)^3</f>
        <v>19037.840400000005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Income Statement</vt:lpstr>
      <vt:lpstr>Balance Sheet</vt:lpstr>
      <vt:lpstr>Cash Flow</vt:lpstr>
      <vt:lpstr>Scenario Planning</vt:lpstr>
      <vt:lpstr>Revenue 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Basu, Rajnandan</cp:lastModifiedBy>
  <cp:revision>1</cp:revision>
  <dcterms:created xsi:type="dcterms:W3CDTF">2026-07-04T16:45:35Z</dcterms:created>
  <dcterms:modified xsi:type="dcterms:W3CDTF">2026-07-04T16:57:42Z</dcterms:modified>
  <dc:language>en-US</dc:language>
</cp:coreProperties>
</file>